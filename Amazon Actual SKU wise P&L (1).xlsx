
<file path=[Content_Types].xml><?xml version="1.0" encoding="utf-8"?>
<Types xmlns="http://schemas.openxmlformats.org/package/2006/content-types">
  <Default ContentType="application/vnd.openxmlformats-officedocument.vmlDrawing" Extension="vml"/>
  <Default ContentType="application/xml" Extension="xml"/>
  <Default ContentType="image/png" Extension="png"/>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37.xml"/>
  <Override ContentType="application/vnd.openxmlformats-officedocument.spreadsheetml.table+xml" PartName="/xl/tables/table4.xml"/>
  <Override ContentType="application/vnd.openxmlformats-officedocument.spreadsheetml.table+xml" PartName="/xl/tables/table29.xml"/>
  <Override ContentType="application/vnd.openxmlformats-officedocument.spreadsheetml.table+xml" PartName="/xl/tables/table32.xml"/>
  <Override ContentType="application/vnd.openxmlformats-officedocument.spreadsheetml.table+xml" PartName="/xl/tables/table28.xml"/>
  <Override ContentType="application/vnd.openxmlformats-officedocument.spreadsheetml.table+xml" PartName="/xl/tables/table15.xml"/>
  <Override ContentType="application/vnd.openxmlformats-officedocument.spreadsheetml.table+xml" PartName="/xl/tables/table8.xml"/>
  <Override ContentType="application/vnd.openxmlformats-officedocument.spreadsheetml.table+xml" PartName="/xl/tables/table24.xml"/>
  <Override ContentType="application/vnd.openxmlformats-officedocument.spreadsheetml.table+xml" PartName="/xl/tables/table11.xml"/>
  <Override ContentType="application/vnd.openxmlformats-officedocument.spreadsheetml.table+xml" PartName="/xl/tables/table31.xml"/>
  <Override ContentType="application/vnd.openxmlformats-officedocument.spreadsheetml.table+xml" PartName="/xl/tables/table5.xml"/>
  <Override ContentType="application/vnd.openxmlformats-officedocument.spreadsheetml.table+xml" PartName="/xl/tables/table36.xml"/>
  <Override ContentType="application/vnd.openxmlformats-officedocument.spreadsheetml.table+xml" PartName="/xl/tables/table19.xml"/>
  <Override ContentType="application/vnd.openxmlformats-officedocument.spreadsheetml.table+xml" PartName="/xl/tables/table10.xml"/>
  <Override ContentType="application/vnd.openxmlformats-officedocument.spreadsheetml.table+xml" PartName="/xl/tables/table27.xml"/>
  <Override ContentType="application/vnd.openxmlformats-officedocument.spreadsheetml.table+xml" PartName="/xl/tables/table14.xml"/>
  <Override ContentType="application/vnd.openxmlformats-officedocument.spreadsheetml.table+xml" PartName="/xl/tables/table23.xml"/>
  <Override ContentType="application/vnd.openxmlformats-officedocument.spreadsheetml.table+xml" PartName="/xl/tables/table9.xml"/>
  <Override ContentType="application/vnd.openxmlformats-officedocument.spreadsheetml.table+xml" PartName="/xl/tables/table18.xml"/>
  <Override ContentType="application/vnd.openxmlformats-officedocument.spreadsheetml.table+xml" PartName="/xl/tables/table13.xml"/>
  <Override ContentType="application/vnd.openxmlformats-officedocument.spreadsheetml.table+xml" PartName="/xl/tables/table1.xml"/>
  <Override ContentType="application/vnd.openxmlformats-officedocument.spreadsheetml.table+xml" PartName="/xl/tables/table30.xml"/>
  <Override ContentType="application/vnd.openxmlformats-officedocument.spreadsheetml.table+xml" PartName="/xl/tables/table22.xml"/>
  <Override ContentType="application/vnd.openxmlformats-officedocument.spreadsheetml.table+xml" PartName="/xl/tables/table2.xml"/>
  <Override ContentType="application/vnd.openxmlformats-officedocument.spreadsheetml.table+xml" PartName="/xl/tables/table35.xml"/>
  <Override ContentType="application/vnd.openxmlformats-officedocument.spreadsheetml.table+xml" PartName="/xl/tables/table26.xml"/>
  <Override ContentType="application/vnd.openxmlformats-officedocument.spreadsheetml.table+xml" PartName="/xl/tables/table6.xml"/>
  <Override ContentType="application/vnd.openxmlformats-officedocument.spreadsheetml.table+xml" PartName="/xl/tables/table39.xml"/>
  <Override ContentType="application/vnd.openxmlformats-officedocument.spreadsheetml.table+xml" PartName="/xl/tables/table20.xml"/>
  <Override ContentType="application/vnd.openxmlformats-officedocument.spreadsheetml.table+xml" PartName="/xl/tables/table3.xml"/>
  <Override ContentType="application/vnd.openxmlformats-officedocument.spreadsheetml.table+xml" PartName="/xl/tables/table17.xml"/>
  <Override ContentType="application/vnd.openxmlformats-officedocument.spreadsheetml.table+xml" PartName="/xl/tables/table33.xml"/>
  <Override ContentType="application/vnd.openxmlformats-officedocument.spreadsheetml.table+xml" PartName="/xl/tables/table34.xml"/>
  <Override ContentType="application/vnd.openxmlformats-officedocument.spreadsheetml.table+xml" PartName="/xl/tables/table7.xml"/>
  <Override ContentType="application/vnd.openxmlformats-officedocument.spreadsheetml.table+xml" PartName="/xl/tables/table16.xml"/>
  <Override ContentType="application/vnd.openxmlformats-officedocument.spreadsheetml.table+xml" PartName="/xl/tables/table21.xml"/>
  <Override ContentType="application/vnd.openxmlformats-officedocument.spreadsheetml.table+xml" PartName="/xl/tables/table38.xml"/>
  <Override ContentType="application/vnd.openxmlformats-officedocument.spreadsheetml.table+xml" PartName="/xl/tables/table12.xml"/>
  <Override ContentType="application/vnd.openxmlformats-officedocument.spreadsheetml.table+xml" PartName="/xl/tables/table25.xml"/>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2.xml"/>
  <Override ContentType="application/vnd.openxmlformats-officedocument.spreadsheetml.worksheet+xml" PartName="/xl/worksheets/sheet15.xml"/>
  <Override ContentType="application/vnd.openxmlformats-officedocument.spreadsheetml.worksheet+xml" PartName="/xl/worksheets/sheet2.xml"/>
  <Override ContentType="application/vnd.openxmlformats-officedocument.spreadsheetml.worksheet+xml" PartName="/xl/worksheets/sheet6.xml"/>
  <Override ContentType="application/vnd.openxmlformats-officedocument.spreadsheetml.worksheet+xml" PartName="/xl/worksheets/sheet8.xml"/>
  <Override ContentType="application/vnd.openxmlformats-officedocument.spreadsheetml.worksheet+xml" PartName="/xl/worksheets/sheet5.xml"/>
  <Override ContentType="application/vnd.openxmlformats-officedocument.spreadsheetml.worksheet+xml" PartName="/xl/worksheets/sheet11.xml"/>
  <Override ContentType="application/vnd.openxmlformats-officedocument.spreadsheetml.worksheet+xml" PartName="/xl/worksheets/sheet14.xml"/>
  <Override ContentType="application/vnd.openxmlformats-officedocument.spreadsheetml.worksheet+xml" PartName="/xl/worksheets/sheet13.xml"/>
  <Override ContentType="application/vnd.openxmlformats-officedocument.spreadsheetml.worksheet+xml" PartName="/xl/worksheets/sheet1.xml"/>
  <Override ContentType="application/vnd.openxmlformats-officedocument.spreadsheetml.worksheet+xml" PartName="/xl/worksheets/sheet3.xml"/>
  <Override ContentType="application/vnd.openxmlformats-officedocument.spreadsheetml.worksheet+xml" PartName="/xl/worksheets/sheet9.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13.xml"/>
  <Override ContentType="application/vnd.openxmlformats-officedocument.drawing+xml" PartName="/xl/drawings/drawing6.xml"/>
  <Override ContentType="application/vnd.openxmlformats-officedocument.drawing+xml" PartName="/xl/drawings/drawing15.xml"/>
  <Override ContentType="application/vnd.openxmlformats-officedocument.drawing+xml" PartName="/xl/drawings/drawing1.xml"/>
  <Override ContentType="application/vnd.openxmlformats-officedocument.drawing+xml" PartName="/xl/drawings/drawing12.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14.xml"/>
  <Override ContentType="application/vnd.openxmlformats-officedocument.drawing+xml" PartName="/xl/drawings/drawing5.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1.xml"/>
  <Override ContentType="application/vnd.ms-excel.documenttasks+xml" PartName="/xl/documenttasks/documenttask1.xml"/>
  <Override ContentType="application/vnd.ms-excel.person+xml" PartName="/xl/persons/person.xml"/>
  <Override ContentType="application/vnd.ms-excel.threadedcomments+xml" PartName="/xl/threadedComments/threadedComment1.xml"/>
  <Override ContentType="application/vnd.openxmlformats-officedocument.spreadsheetml.styles+xml" PartName="/xl/styles.xml"/>
  <Override ContentType="application/vnd.openxmlformats-officedocument.spreadsheetml.comments+xml" PartName="/xl/comments1.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Amazon Model Unit Economics - V" sheetId="1" r:id="rId5"/>
    <sheet state="visible" name="invoice values" sheetId="2" r:id="rId6"/>
    <sheet state="hidden" name="Sheet13" sheetId="3" r:id="rId7"/>
    <sheet state="hidden" name="Cockpit" sheetId="4" r:id="rId8"/>
    <sheet state="hidden" name="Amazon Unit Economics Model - V" sheetId="5" r:id="rId9"/>
    <sheet state="hidden" name="Amazon Unit Economics Model @15" sheetId="6" r:id="rId10"/>
    <sheet state="hidden" name="Factory cost targets @15% tarif" sheetId="7" r:id="rId11"/>
    <sheet state="visible" name="Ex-Factory cost" sheetId="8" r:id="rId12"/>
    <sheet state="hidden" name="New Products Pricing " sheetId="9" r:id="rId13"/>
    <sheet state="hidden" name="Sheet3" sheetId="10" r:id="rId14"/>
    <sheet state="hidden" name="Sheet6" sheetId="11" r:id="rId15"/>
    <sheet state="hidden" name="2025Sep1-2025Sep30CustomUnified" sheetId="12" r:id="rId16"/>
    <sheet state="hidden" name="Sheet5" sheetId="13" r:id="rId17"/>
    <sheet state="hidden" name="Unit economics in %" sheetId="14" r:id="rId18"/>
    <sheet state="hidden" name="VVI data" sheetId="15" r:id="rId19"/>
  </sheets>
  <definedNames>
    <definedName hidden="1" localSheetId="0" name="_xlnm._FilterDatabase">'Amazon Model Unit Economics - V'!$A$3:$AQ$22</definedName>
    <definedName hidden="1" localSheetId="5" name="_xlnm._FilterDatabase">'Amazon Unit Economics Model @15'!$B$4:$AJ$31</definedName>
    <definedName hidden="1" localSheetId="7" name="_xlnm._FilterDatabase">'Ex-Factory cost'!$B$2:$E$108</definedName>
  </definedNames>
  <calcPr/>
</workbook>
</file>

<file path=xl/comments1.xml><?xml version="1.0" encoding="utf-8"?>
<comments xmlns:r="http://schemas.openxmlformats.org/officeDocument/2006/relationships" xmlns="http://schemas.openxmlformats.org/spreadsheetml/2006/main" xmlns:xr="http://schemas.microsoft.com/office/spreadsheetml/2014/revision">
  <authors>
    <author>tc={62a6f313-c9b2-4988-9cbe-8132be1cb6cf}</author>
  </authors>
  <commentList>
    <comment authorId="0" xr:uid="{62a6f313-c9b2-4988-9cbe-8132be1cb6cf}" ref="AC3">
      <text>
        <t xml:space="preserve">[Threaded comment]
 Your version of Excel allows you to read this threaded comment; however, any edits to it will get removed if the file is opened in a newer version of Excel. Learn more: https://go.microsoft.com/fwlink/?linkid=870924
Comment:
	15% of net + 3% return admin on returned items
</t>
      </text>
    </comment>
  </commentList>
</comments>
</file>

<file path=xl/sharedStrings.xml><?xml version="1.0" encoding="utf-8"?>
<sst xmlns="http://schemas.openxmlformats.org/spreadsheetml/2006/main" count="2762" uniqueCount="938">
  <si>
    <t>$7 per CFT</t>
  </si>
  <si>
    <t>Box 1 Dimensions (in)</t>
  </si>
  <si>
    <t>Product Size Tier</t>
  </si>
  <si>
    <t>SKU</t>
  </si>
  <si>
    <t>Comments</t>
  </si>
  <si>
    <t>L (in)</t>
  </si>
  <si>
    <t xml:space="preserve">B (in) </t>
  </si>
  <si>
    <t>H (in)</t>
  </si>
  <si>
    <t>Gross wt (lbs)</t>
  </si>
  <si>
    <t>Ex-factory Price (INR)</t>
  </si>
  <si>
    <t>## of boxes</t>
  </si>
  <si>
    <t>Box CFT</t>
  </si>
  <si>
    <t>Ex-factory cost</t>
  </si>
  <si>
    <t>Amazon SEND Shipping</t>
  </si>
  <si>
    <t>Import Duty (USD)</t>
  </si>
  <si>
    <t>Landed COGS</t>
  </si>
  <si>
    <t>Gross weight (lb)</t>
  </si>
  <si>
    <t>Dimensional weight (lb)</t>
  </si>
  <si>
    <t>Shipping weight (lb)</t>
  </si>
  <si>
    <t>Shipping weight Class</t>
  </si>
  <si>
    <t>Longest side Class</t>
  </si>
  <si>
    <t>Median side Class</t>
  </si>
  <si>
    <t>Shortest side Class</t>
  </si>
  <si>
    <t>Final Product Size Tier</t>
  </si>
  <si>
    <t>Base Fare</t>
  </si>
  <si>
    <t>Incremental Fare per lb</t>
  </si>
  <si>
    <t>Cutoff Lb</t>
  </si>
  <si>
    <t>FBA Fulfilment fees</t>
  </si>
  <si>
    <t>FBA Storage fees</t>
  </si>
  <si>
    <t>Landed COGS + FBA Fulfilment + FBA Warehousing</t>
  </si>
  <si>
    <t>Return as % of Gross Sales</t>
  </si>
  <si>
    <t>AZ Selling Fees as % of Gross Sales (15% of net + 3% return admin on returned items)</t>
  </si>
  <si>
    <t>Ads as % of Gross Sales</t>
  </si>
  <si>
    <t>Net Margin as % of Gross Sales</t>
  </si>
  <si>
    <t>[Returns + Platform fees + Ads + Margin] as % of Gross Sales</t>
  </si>
  <si>
    <t>[Landed COGS + FBA Fulfilment + FBA Warehousing] as % of Gross Sales</t>
  </si>
  <si>
    <t>Theoratical Listing Price</t>
  </si>
  <si>
    <t>ASP (Target selling Price)</t>
  </si>
  <si>
    <t>Current Ads as % of Gross Sales</t>
  </si>
  <si>
    <t>Current Return % of Gross Sales</t>
  </si>
  <si>
    <t>COGS% basis target price</t>
  </si>
  <si>
    <t>Operating Margin% basis Target Selling Price</t>
  </si>
  <si>
    <t>Net Margin% basis Target Selling Price</t>
  </si>
  <si>
    <t>Profit + Ads %</t>
  </si>
  <si>
    <t>Fullfillment fee% of Gross Sales</t>
  </si>
  <si>
    <t>ROE</t>
  </si>
  <si>
    <t>ET008</t>
  </si>
  <si>
    <t>Universe</t>
  </si>
  <si>
    <t>ET042MB(D)</t>
  </si>
  <si>
    <t>ET042MW</t>
  </si>
  <si>
    <t>ET003-N</t>
  </si>
  <si>
    <t>ET003-W</t>
  </si>
  <si>
    <t>ET009</t>
  </si>
  <si>
    <t>ET012</t>
  </si>
  <si>
    <t>DR005MW</t>
  </si>
  <si>
    <t>DR002MTMW</t>
  </si>
  <si>
    <t>DR001MW</t>
  </si>
  <si>
    <t>DR004MB</t>
  </si>
  <si>
    <t>Kill</t>
  </si>
  <si>
    <t>ET067MB</t>
  </si>
  <si>
    <t>DR003MW</t>
  </si>
  <si>
    <t>DR003MWW(D)</t>
  </si>
  <si>
    <t>ET043MTMS</t>
  </si>
  <si>
    <t>ET005MR</t>
  </si>
  <si>
    <t>ET004</t>
  </si>
  <si>
    <t>ET006</t>
  </si>
  <si>
    <t>ET013</t>
  </si>
  <si>
    <t>Invoice value</t>
  </si>
  <si>
    <t>Current Units</t>
  </si>
  <si>
    <t>USD to INR Conversion</t>
  </si>
  <si>
    <t>Number of months for storage</t>
  </si>
  <si>
    <t>PA WH Storage cost per month per CFT (USD)</t>
  </si>
  <si>
    <t>INR</t>
  </si>
  <si>
    <t>USD</t>
  </si>
  <si>
    <t>Max Shipping Weight (lb)</t>
  </si>
  <si>
    <t>Class</t>
  </si>
  <si>
    <t>Shipping tier</t>
  </si>
  <si>
    <t>Longest side (in)</t>
  </si>
  <si>
    <t>Ind WH to Ind Port</t>
  </si>
  <si>
    <t>Small standard size</t>
  </si>
  <si>
    <t>Large standard size</t>
  </si>
  <si>
    <t>Large bulky</t>
  </si>
  <si>
    <t>Extra large bulky</t>
  </si>
  <si>
    <t>India WH to PA-WH logistics cost</t>
  </si>
  <si>
    <t>Extra large bulky (70 to 150lbs)</t>
  </si>
  <si>
    <t>Base Charges</t>
  </si>
  <si>
    <t>Incremental charges</t>
  </si>
  <si>
    <t>Extra large bulky (0 to 50lbs)</t>
  </si>
  <si>
    <t>Extra large bulky (50 to 70lbs)</t>
  </si>
  <si>
    <t>Extra large bulky (150lbs+)</t>
  </si>
  <si>
    <t>FBA Non-peak Fulfillment Fees (excluding apparel)</t>
  </si>
  <si>
    <t>2025 Peak Fulfillment fees (excluding apparel)
(October 15, 2025 – January 14, 2026)</t>
  </si>
  <si>
    <t>January 15, 2025 – October 14, 2025</t>
  </si>
  <si>
    <t>Starting January 15, 2026</t>
  </si>
  <si>
    <t>Size tier</t>
  </si>
  <si>
    <t>Shipping weight</t>
  </si>
  <si>
    <t>&lt;$10</t>
  </si>
  <si>
    <t>$10-$50</t>
  </si>
  <si>
    <t>&gt;$50</t>
  </si>
  <si>
    <t>Large standard</t>
  </si>
  <si>
    <t>4 oz or less</t>
  </si>
  <si>
    <t>4+ to 8 oz</t>
  </si>
  <si>
    <t>8+ to 12 oz</t>
  </si>
  <si>
    <t>12+ to 16 oz</t>
  </si>
  <si>
    <t>1+ to 1.25 lb</t>
  </si>
  <si>
    <t>1.25+ to 1.5 lb</t>
  </si>
  <si>
    <t>1.5+ to 1.75 lb</t>
  </si>
  <si>
    <t>1.75+ to 2 lb</t>
  </si>
  <si>
    <t>2+ to 2.25 lb</t>
  </si>
  <si>
    <t>2.25+ to 2.5 lb</t>
  </si>
  <si>
    <t>2.5+ to 2.75 lb</t>
  </si>
  <si>
    <t>2.75+ to 3 lb</t>
  </si>
  <si>
    <t>3+ lb to 20 lb</t>
  </si>
  <si>
    <t>$6.69 + $0.08 per 4 oz interval above first 3 lb</t>
  </si>
  <si>
    <t>$7.46 + $0.08 per 4 oz interval above first 3 lb</t>
  </si>
  <si>
    <t>$6.15 + $0.08 per 4 oz interval above first 3 lb</t>
  </si>
  <si>
    <t>$6.92 + $0.08 per 4 oz interval above first 3 lb</t>
  </si>
  <si>
    <t>$6.97 + $0.08 per 4 oz interval above first 3 lb</t>
  </si>
  <si>
    <t>$7.23 + $0.08 per 4 oz interval above first 3 lb</t>
  </si>
  <si>
    <t>Small Bulky</t>
  </si>
  <si>
    <t>0 to 50 lb</t>
  </si>
  <si>
    <t>$9.88 + $0.38/lb interval above first lb</t>
  </si>
  <si>
    <t>$10.65 + $0.38/lb interval above first lb</t>
  </si>
  <si>
    <t>$8.84 + $0.38/lb interval above first lb</t>
  </si>
  <si>
    <t>$9.61 + $0.38/lb interval above first lb</t>
  </si>
  <si>
    <t>$6.78 + $0.38/lb interval above first lb</t>
  </si>
  <si>
    <t>$7.55 + $0.38/lb interval above first lb</t>
  </si>
  <si>
    <t>Large Bulky</t>
  </si>
  <si>
    <t>$8.58 + $0.38/lb interval above first lb</t>
  </si>
  <si>
    <t>$9.35 + $0.38/lb interval above first lb</t>
  </si>
  <si>
    <t>Extra-large 0 to 50 lb</t>
  </si>
  <si>
    <t>$25.56 + $0.38/lb interval above first lb</t>
  </si>
  <si>
    <t>$26.33 + $0.38/lb interval above first lb</t>
  </si>
  <si>
    <t>Extra-large 50+ to 70 lb</t>
  </si>
  <si>
    <t>50+ to 70 lb</t>
  </si>
  <si>
    <t>$39.35 + $0.75/lb interval above 51 lb</t>
  </si>
  <si>
    <t>$40.12 + $0.75/lb interval above 51 lb</t>
  </si>
  <si>
    <t>$36.55 + $0.75/lb interval above 51 lb</t>
  </si>
  <si>
    <t>$37.32 + $0.75/lb interval above 51 lb</t>
  </si>
  <si>
    <t>Extra-large 70+ to 150 lb</t>
  </si>
  <si>
    <t>70+ to 150 lb</t>
  </si>
  <si>
    <t>$54.04 + $0.75/lb interval above 71 lb</t>
  </si>
  <si>
    <t>$54.81 + $0.75/lb interval above 71 lb</t>
  </si>
  <si>
    <t>$50.55 + $0.75/lb interval above 71 lb</t>
  </si>
  <si>
    <t>$51.32 + $0.75/lb interval above 71 lb</t>
  </si>
  <si>
    <t>Extra-large 150+ lb1</t>
  </si>
  <si>
    <t>150+ lb</t>
  </si>
  <si>
    <t>$194.18 + $0.19/lb interval above 151 lb</t>
  </si>
  <si>
    <t>$194.95 + $0.19/lb interval above 151 lb</t>
  </si>
  <si>
    <t>2024 Product size tier definitions (ending on January 14, 2026)</t>
  </si>
  <si>
    <t>2026 product size tier definitions (starting on January 15, 2026)</t>
  </si>
  <si>
    <t>Product size tier</t>
  </si>
  <si>
    <t>Shipping weight1</t>
  </si>
  <si>
    <t>Longest side</t>
  </si>
  <si>
    <t>Median side</t>
  </si>
  <si>
    <t>Shortest side</t>
  </si>
  <si>
    <t>Length plus girth</t>
  </si>
  <si>
    <t>Small standard-size</t>
  </si>
  <si>
    <t>Up to 16 oz</t>
  </si>
  <si>
    <t>Up to 15 inches</t>
  </si>
  <si>
    <t>Up to 12 inches</t>
  </si>
  <si>
    <t>Up to 0.75 inch</t>
  </si>
  <si>
    <t>N/A</t>
  </si>
  <si>
    <t>Large standard-size</t>
  </si>
  <si>
    <t>Up to 20 lb</t>
  </si>
  <si>
    <t>Up to 18 inches</t>
  </si>
  <si>
    <t>Up to 14 inches</t>
  </si>
  <si>
    <t>Up to 8 inches</t>
  </si>
  <si>
    <t>Up to 50 lb</t>
  </si>
  <si>
    <t>Up to 59 inches</t>
  </si>
  <si>
    <t>Up to 33 inches</t>
  </si>
  <si>
    <t>Up to 130 inches</t>
  </si>
  <si>
    <t>Up to 37 inches</t>
  </si>
  <si>
    <t>Up to 28 inches</t>
  </si>
  <si>
    <t>Up to 20 inches</t>
  </si>
  <si>
    <t>Extra-Large 0 to 50 lb</t>
  </si>
  <si>
    <t>Extra-Large exceeds 59 inches for the longest side or 33 inches for the median side or 33 inches for the shortest side or 130 inches for length plus girth, or if the product’s larger of unit weight or dimensional weight exceeds 50 lb.</t>
  </si>
  <si>
    <t>Extra-Large 50+ to 70 lb</t>
  </si>
  <si>
    <t>Extra-Large exceeds 59 inches for the longest side or 33 inches for the median side or 33 inches for the shortest side or 130 inches for length plus girth, or if the product’s larger of unit weight or dimensional weight exceeds 50 lb.
Extra-Large (up to 150 lb) exceeding 96 inches for longest side or 130 inches for length plus girth will be considered Overmax.</t>
  </si>
  <si>
    <t>Extra-Large 70+ to 150 lb</t>
  </si>
  <si>
    <t>Extra-Large 150+ lb</t>
  </si>
  <si>
    <t>Over 150 lb</t>
  </si>
  <si>
    <t>Extra-large 150+ lb</t>
  </si>
  <si>
    <t>15% of net + 3% return admin on returned items</t>
  </si>
  <si>
    <t>25% of Gross sales</t>
  </si>
  <si>
    <t>5% of Gross sales</t>
  </si>
  <si>
    <t>Net COGS in dollars calculated on gross sale units as returns will not be resold</t>
  </si>
  <si>
    <t>KD/Non-KD</t>
  </si>
  <si>
    <t xml:space="preserve">Factory price </t>
  </si>
  <si>
    <t>CFT</t>
  </si>
  <si>
    <t>SEND Shipping</t>
  </si>
  <si>
    <t>ASP</t>
  </si>
  <si>
    <t>Gross Units</t>
  </si>
  <si>
    <t>Gross Sales</t>
  </si>
  <si>
    <t>Return %</t>
  </si>
  <si>
    <t>Net Units</t>
  </si>
  <si>
    <t>Net Sales</t>
  </si>
  <si>
    <t>AZ Selling Fees</t>
  </si>
  <si>
    <t>FBA Fulfilment Fees</t>
  </si>
  <si>
    <t>AZ Fulfillment fees</t>
  </si>
  <si>
    <t>OM1</t>
  </si>
  <si>
    <t>Ads</t>
  </si>
  <si>
    <t>Other costs</t>
  </si>
  <si>
    <t>Profit Before COGS</t>
  </si>
  <si>
    <t>Unit COGS 0% Tariff</t>
  </si>
  <si>
    <t>Unit COGS 25% Tariff</t>
  </si>
  <si>
    <t>Unit COGS 50% Tariff</t>
  </si>
  <si>
    <t>Gross COGS 0% Tariff</t>
  </si>
  <si>
    <t>Gross COGS 25% Tariff</t>
  </si>
  <si>
    <t>Gross COGS 50% Tariff</t>
  </si>
  <si>
    <t>Net Margin 0% Tariff</t>
  </si>
  <si>
    <t>Net Margin 25% Tariff</t>
  </si>
  <si>
    <t>Net Margin 50% Tariff</t>
  </si>
  <si>
    <t>% Net Margin 0% Tariff</t>
  </si>
  <si>
    <t>% Net margin 25% Tariff</t>
  </si>
  <si>
    <t>% Net margin 50% Tariff</t>
  </si>
  <si>
    <t>% returns</t>
  </si>
  <si>
    <t>Gross sales 
(4 months)</t>
  </si>
  <si>
    <t>Gross COGS % 0% Tariff</t>
  </si>
  <si>
    <t>Gross COGS% 25% Tariff</t>
  </si>
  <si>
    <t>Gross COGS% 50% Tariff</t>
  </si>
  <si>
    <t>Returns 
(4 months)</t>
  </si>
  <si>
    <t>RH-ET042MB(D)-FBA</t>
  </si>
  <si>
    <t>KD</t>
  </si>
  <si>
    <t>RH-ET042MW-FBA</t>
  </si>
  <si>
    <t>RH-DR002MTMW-FBA</t>
  </si>
  <si>
    <t>Non-KD</t>
  </si>
  <si>
    <t>RH-DR001MW-FBA</t>
  </si>
  <si>
    <t>RH-ET003-N-FBA</t>
  </si>
  <si>
    <t>RH-DR005MW-FBA</t>
  </si>
  <si>
    <t>Aggregate</t>
  </si>
  <si>
    <t>Discount on manufacturing cost</t>
  </si>
  <si>
    <t>COGS 0% Tariff</t>
  </si>
  <si>
    <t>COGS 25% Tariff</t>
  </si>
  <si>
    <t>COGS 50% Tariff</t>
  </si>
  <si>
    <t>% Net margin
 25% Tariff</t>
  </si>
  <si>
    <t>% Net margin
 50% Tariff</t>
  </si>
  <si>
    <t>Line of action</t>
  </si>
  <si>
    <t>Jodhpur visit</t>
  </si>
  <si>
    <t>- Jugaad billing to bypass tariffs</t>
  </si>
  <si>
    <t>- Non-KD to KD</t>
  </si>
  <si>
    <t>- KD mein 10% Factory price reduction</t>
  </si>
  <si>
    <t>- Inventory sponshirship from Supplier - atleast 1 supplier</t>
  </si>
  <si>
    <t>Full potential</t>
  </si>
  <si>
    <t xml:space="preserve">- How much can these scale on Amazon </t>
  </si>
  <si>
    <t xml:space="preserve">- Figure out how big this business can become </t>
  </si>
  <si>
    <t>- Figure out how fast can this business grow</t>
  </si>
  <si>
    <t>- This business definition - Selling small KD furniture pieces on amazon which are priced atleast 20-30% higher than median price</t>
  </si>
  <si>
    <t xml:space="preserve">- Consumer Survey to assess the demand for this business </t>
  </si>
  <si>
    <t>- D2C - How big, How fast, GTM, Unit economics. What learnings can you derive from amazon for this? This question is more for future else there is a risk of getting restricted to becoming AZ seller</t>
  </si>
  <si>
    <t>India Furniture market - Mayank conversation</t>
  </si>
  <si>
    <t>- Define the business &amp; market questions you want to talk about</t>
  </si>
  <si>
    <t>- Understand his position - What does he wants to do?</t>
  </si>
  <si>
    <t>New cross-border consumer angles</t>
  </si>
  <si>
    <t xml:space="preserve">- Creating a Temu/Shein from India for products where there is a disproportionate production &amp; supply chain advantage </t>
  </si>
  <si>
    <t xml:space="preserve">India focussed business - New Ideas </t>
  </si>
  <si>
    <t>Factory cost</t>
  </si>
  <si>
    <t>Unit COGS 15% Tariff</t>
  </si>
  <si>
    <t>Gross COGS 15% Tariff</t>
  </si>
  <si>
    <t>Net Margin 15% Tariff</t>
  </si>
  <si>
    <t>% Net margin 15% Tariff</t>
  </si>
  <si>
    <t>Gross COGS% 15% Tariff</t>
  </si>
  <si>
    <t>CT001MW-18H</t>
  </si>
  <si>
    <t>CT001</t>
  </si>
  <si>
    <t>CT009</t>
  </si>
  <si>
    <t>ET005</t>
  </si>
  <si>
    <t>ET044MC</t>
  </si>
  <si>
    <t>CT007</t>
  </si>
  <si>
    <t>CT009MW-18H</t>
  </si>
  <si>
    <t>CT068MC</t>
  </si>
  <si>
    <t>ET041MW</t>
  </si>
  <si>
    <t>COGS 15% Tariff</t>
  </si>
  <si>
    <t>current amazon sale</t>
  </si>
  <si>
    <t>Factory cost targets where unit economics becomes viable</t>
  </si>
  <si>
    <t>Revising price for these SKUs and then letting them sell</t>
  </si>
  <si>
    <t>How to make a decision on new products - New SKUs in Furniture or Newer categories - This with a long term vision</t>
  </si>
  <si>
    <t>No. of reviews</t>
  </si>
  <si>
    <t>Rating</t>
  </si>
  <si>
    <t>Mn</t>
  </si>
  <si>
    <t>- if KD and factory cost reduced by 10%, then CM3 is 5%+ at 15% tariff</t>
  </si>
  <si>
    <t>Ex-factory Cost</t>
  </si>
  <si>
    <t>Ex-factory Cost (INR)</t>
  </si>
  <si>
    <t>CT001Nest-MN14-MW18</t>
  </si>
  <si>
    <t>CT002</t>
  </si>
  <si>
    <t>CT002SH-18H</t>
  </si>
  <si>
    <t>CT004</t>
  </si>
  <si>
    <t>CT005</t>
  </si>
  <si>
    <t>CT006</t>
  </si>
  <si>
    <t>CT006MW-18H</t>
  </si>
  <si>
    <t>CT008SH-14H</t>
  </si>
  <si>
    <t>CT008SH-18H</t>
  </si>
  <si>
    <t>CT009SetOf2-MW15-MW18</t>
  </si>
  <si>
    <t>CT010</t>
  </si>
  <si>
    <t>CT011</t>
  </si>
  <si>
    <t>CT012</t>
  </si>
  <si>
    <t>CT061AN</t>
  </si>
  <si>
    <t>CT062ANMT-32D</t>
  </si>
  <si>
    <t>CT062ANMT</t>
  </si>
  <si>
    <t>CT058WR</t>
  </si>
  <si>
    <t>CT064</t>
  </si>
  <si>
    <t>CT065MN</t>
  </si>
  <si>
    <t>CT065MW</t>
  </si>
  <si>
    <t>CT066MWW(S)</t>
  </si>
  <si>
    <t>CT066MB(S)</t>
  </si>
  <si>
    <t>CT067MB</t>
  </si>
  <si>
    <t>CT069MG(S)</t>
  </si>
  <si>
    <t>CT070MB</t>
  </si>
  <si>
    <t>ET003-N (1 box in FBA)</t>
  </si>
  <si>
    <t>ET003-N (Set of 2)</t>
  </si>
  <si>
    <t>ET003-NW</t>
  </si>
  <si>
    <t>ET007</t>
  </si>
  <si>
    <t>ET010</t>
  </si>
  <si>
    <t>ET011</t>
  </si>
  <si>
    <t>ET037ANMT</t>
  </si>
  <si>
    <t>ET037MWMT</t>
  </si>
  <si>
    <t>ET038MNMS</t>
  </si>
  <si>
    <t>ET039ANMS</t>
  </si>
  <si>
    <t>ET040WR</t>
  </si>
  <si>
    <t>ET041MN</t>
  </si>
  <si>
    <t>ET046MB</t>
  </si>
  <si>
    <t>ET069MG(S)</t>
  </si>
  <si>
    <t>AC001</t>
  </si>
  <si>
    <t>AC002</t>
  </si>
  <si>
    <t>AC003</t>
  </si>
  <si>
    <t>AC003B</t>
  </si>
  <si>
    <t>AC004</t>
  </si>
  <si>
    <t>AC004B</t>
  </si>
  <si>
    <t>AC005</t>
  </si>
  <si>
    <t>AC005B</t>
  </si>
  <si>
    <t>AC006</t>
  </si>
  <si>
    <t>AC007</t>
  </si>
  <si>
    <t>AC008</t>
  </si>
  <si>
    <t>AC009</t>
  </si>
  <si>
    <t>SB001-MW-NF</t>
  </si>
  <si>
    <t>SB002ANMT</t>
  </si>
  <si>
    <t>SB003ANMS</t>
  </si>
  <si>
    <t>SB004MBMT</t>
  </si>
  <si>
    <t>DT001MN</t>
  </si>
  <si>
    <t>DT002MBMS</t>
  </si>
  <si>
    <t>DT003MC</t>
  </si>
  <si>
    <t>DC001MN</t>
  </si>
  <si>
    <t>DC001MB</t>
  </si>
  <si>
    <t>DC005MN</t>
  </si>
  <si>
    <t>DC005MB</t>
  </si>
  <si>
    <t>DC004MC</t>
  </si>
  <si>
    <t>CS001MN</t>
  </si>
  <si>
    <t>CS001MW</t>
  </si>
  <si>
    <t>CS002MWW(S)</t>
  </si>
  <si>
    <t>CS002MB(S)</t>
  </si>
  <si>
    <t>CS003MB</t>
  </si>
  <si>
    <t>CS004MC</t>
  </si>
  <si>
    <t>CS005MB</t>
  </si>
  <si>
    <t>CS005MWW</t>
  </si>
  <si>
    <t>CS006MB</t>
  </si>
  <si>
    <t>SB011</t>
  </si>
  <si>
    <t>SB012</t>
  </si>
  <si>
    <t>SB013</t>
  </si>
  <si>
    <t>SB014</t>
  </si>
  <si>
    <t>SB015</t>
  </si>
  <si>
    <t>ET005-MR</t>
  </si>
  <si>
    <t>ET067</t>
  </si>
  <si>
    <t>Return Fees</t>
  </si>
  <si>
    <t>of Returns</t>
  </si>
  <si>
    <t>Returns</t>
  </si>
  <si>
    <t>of Gross</t>
  </si>
  <si>
    <t>Platform fees</t>
  </si>
  <si>
    <t>of Net</t>
  </si>
  <si>
    <t>Profit</t>
  </si>
  <si>
    <t>COGS</t>
  </si>
  <si>
    <t>FBA Fulfilment</t>
  </si>
  <si>
    <t>Net Platform Fees</t>
  </si>
  <si>
    <t>Net sales</t>
  </si>
  <si>
    <t>Return rate</t>
  </si>
  <si>
    <t>All components except COGS</t>
  </si>
  <si>
    <t>Row Labels</t>
  </si>
  <si>
    <t>Sum of Product sales2</t>
  </si>
  <si>
    <t>Sum of Sales return</t>
  </si>
  <si>
    <t>Sum of Net sales</t>
  </si>
  <si>
    <t>Sum of Sales qty</t>
  </si>
  <si>
    <t>Sum of Return qty</t>
  </si>
  <si>
    <t>Sum of Net qty</t>
  </si>
  <si>
    <t>Sum of Amazon SF</t>
  </si>
  <si>
    <t>Sum of Amazon FF</t>
  </si>
  <si>
    <t>Sum of Amazon OF</t>
  </si>
  <si>
    <t>Sum of Amazon TF</t>
  </si>
  <si>
    <t>Sum of OM1</t>
  </si>
  <si>
    <t>RH-CS004MC-FBM</t>
  </si>
  <si>
    <t>RH-CT001MW-18H</t>
  </si>
  <si>
    <t>RH-CT007-FBA</t>
  </si>
  <si>
    <t>RH-CT009-FBA</t>
  </si>
  <si>
    <t>RH-CT009MW-18H-FBAA</t>
  </si>
  <si>
    <t>RH-CT009MW-18H-FBM</t>
  </si>
  <si>
    <t>RH-ET003-W</t>
  </si>
  <si>
    <t>RH-ET003-W-FBA</t>
  </si>
  <si>
    <t>RH-ET006-FBM</t>
  </si>
  <si>
    <t>RH-ET008</t>
  </si>
  <si>
    <t>RH-ET041MN-FBA</t>
  </si>
  <si>
    <t>RH-ET041MW-FBA</t>
  </si>
  <si>
    <t>RH-ET041MW-FBM</t>
  </si>
  <si>
    <t>Grand Total</t>
  </si>
  <si>
    <t>Sum of P/L (0%)</t>
  </si>
  <si>
    <t>Sum of P/L(25%)</t>
  </si>
  <si>
    <t>Sum of P/L(50%)</t>
  </si>
  <si>
    <t>date/time</t>
  </si>
  <si>
    <t>settlement id</t>
  </si>
  <si>
    <t>type</t>
  </si>
  <si>
    <t>order id</t>
  </si>
  <si>
    <t>sku</t>
  </si>
  <si>
    <t>description</t>
  </si>
  <si>
    <t>quantity</t>
  </si>
  <si>
    <t>marketplace</t>
  </si>
  <si>
    <t>account type</t>
  </si>
  <si>
    <t>fulfillment</t>
  </si>
  <si>
    <t>order city</t>
  </si>
  <si>
    <t>order state</t>
  </si>
  <si>
    <t>order postal</t>
  </si>
  <si>
    <t>tax collection model</t>
  </si>
  <si>
    <t>product sales</t>
  </si>
  <si>
    <t>product sales tax</t>
  </si>
  <si>
    <t>shipping credits</t>
  </si>
  <si>
    <t>shipping credits tax</t>
  </si>
  <si>
    <t>gift wrap credits</t>
  </si>
  <si>
    <t>giftwrap credits tax</t>
  </si>
  <si>
    <t>Regulatory Fee</t>
  </si>
  <si>
    <t>Tax On Regulatory Fee</t>
  </si>
  <si>
    <t>promotional rebates</t>
  </si>
  <si>
    <t>promotional rebates tax</t>
  </si>
  <si>
    <t>marketplace withheld tax</t>
  </si>
  <si>
    <t>selling fees</t>
  </si>
  <si>
    <t>fba fees</t>
  </si>
  <si>
    <t>other transaction fees</t>
  </si>
  <si>
    <t>other</t>
  </si>
  <si>
    <t>total</t>
  </si>
  <si>
    <t>Product sales2</t>
  </si>
  <si>
    <t>Sales return</t>
  </si>
  <si>
    <t>Sales qty</t>
  </si>
  <si>
    <t>Return qty</t>
  </si>
  <si>
    <t>Net qty</t>
  </si>
  <si>
    <t>Amazon SF</t>
  </si>
  <si>
    <t>Amazon FF</t>
  </si>
  <si>
    <t>Amazon OF</t>
  </si>
  <si>
    <t>Amazon TF</t>
  </si>
  <si>
    <t>Sep 1, 2025 12:54:36 AM PDT</t>
  </si>
  <si>
    <t>Order</t>
  </si>
  <si>
    <t>113-3629197-4909060</t>
  </si>
  <si>
    <t>Stupa Solid Wood End Table - 22" Tall Round Side Table for Living Room or Bedroom, Handcrafted Accent Table in Distressed Black Finish, Easy Assembly,</t>
  </si>
  <si>
    <t>amazon.com</t>
  </si>
  <si>
    <t>Standard Orders</t>
  </si>
  <si>
    <t>Amazon</t>
  </si>
  <si>
    <t>MARYSVILLE</t>
  </si>
  <si>
    <t>WA</t>
  </si>
  <si>
    <t>MarketplaceFacilitator</t>
  </si>
  <si>
    <t>Sep 1, 2025 7:05:27 AM PDT</t>
  </si>
  <si>
    <t>111-6679077-1626666</t>
  </si>
  <si>
    <t>SACRAMENTO</t>
  </si>
  <si>
    <t>CA</t>
  </si>
  <si>
    <t>Sep 1, 2025 7:44:34 AM PDT</t>
  </si>
  <si>
    <t>112-9594610-6683422</t>
  </si>
  <si>
    <t>Relso Gaia Round End Table for Living Room and Farmhouse | Solid Mango Wood for Rustic Elegance | Ideal for Side Tables, Nightstands &amp; More | Wood Sid</t>
  </si>
  <si>
    <t>Shelter island</t>
  </si>
  <si>
    <t>NY</t>
  </si>
  <si>
    <t>Sep 1, 2025 11:55:56 AM PDT</t>
  </si>
  <si>
    <t>111-6811498-3707441</t>
  </si>
  <si>
    <t>CANBY</t>
  </si>
  <si>
    <t>OR</t>
  </si>
  <si>
    <t>Sep 1, 2025 3:25:35 PM PDT</t>
  </si>
  <si>
    <t>Refund</t>
  </si>
  <si>
    <t>111-8445665-6491417</t>
  </si>
  <si>
    <t>Ma'gro Drink Table - Solid Mango Wood Fluted Base with Real White Marble Top | Farmhouse Accent Side Table for Boho Decor, Bedside, Entryway, Plant St</t>
  </si>
  <si>
    <t>SOUTH HAVEN</t>
  </si>
  <si>
    <t>MI</t>
  </si>
  <si>
    <t>Sep 2, 2025 12:15:42 AM PDT</t>
  </si>
  <si>
    <t>Sep 2, 2025 1:04:18 AM PDT</t>
  </si>
  <si>
    <t>112-0028999-6002601</t>
  </si>
  <si>
    <t>COCONUT CREEK</t>
  </si>
  <si>
    <t>FL</t>
  </si>
  <si>
    <t>Sep 2, 2025 5:18:04 AM PDT</t>
  </si>
  <si>
    <t>Sep 2, 2025 5:51:43 AM PDT</t>
  </si>
  <si>
    <t>114-9137951-0633801</t>
  </si>
  <si>
    <t>MARIETTA</t>
  </si>
  <si>
    <t>GA</t>
  </si>
  <si>
    <t>Sep 2, 2025 8:00:05 AM PDT</t>
  </si>
  <si>
    <t>114-7098282-7403403</t>
  </si>
  <si>
    <t>DURHAM</t>
  </si>
  <si>
    <t>NC</t>
  </si>
  <si>
    <t>Sep 2, 2025 8:49:27 AM PDT</t>
  </si>
  <si>
    <t>113-4621835-4025016</t>
  </si>
  <si>
    <t>Octavian Coffee Table -Solid Wood Round Drum Center Table for Living Room with Geometric Faceted Design - Walnut Finish Center Table, Modern Decor, Fa</t>
  </si>
  <si>
    <t>Seller</t>
  </si>
  <si>
    <t>LOS ANGELES</t>
  </si>
  <si>
    <t>Sep 3, 2025 12:38:31 AM PDT</t>
  </si>
  <si>
    <t>114-1022469-6537025</t>
  </si>
  <si>
    <t>Relso Solid Wood Geometric Faceted Coffee Tables Living Room, Crafted for Versatile Use | Drum Round Shaped | for Living Rooms | Wooden Drum Coffee Ta</t>
  </si>
  <si>
    <t>Sep 3, 2025 4:05:57 AM PDT</t>
  </si>
  <si>
    <t>111-7082037-7503422</t>
  </si>
  <si>
    <t>Relso Stupa Solid Wood End Table - 22" Tall Round Side Table for Living Room or Bedroom, Handcrafted Accent Table in Walnut Finish, Easy Assembly, Mod</t>
  </si>
  <si>
    <t>RIO RANCHO</t>
  </si>
  <si>
    <t>NM</t>
  </si>
  <si>
    <t>Sep 3, 2025 6:52:10 AM PDT</t>
  </si>
  <si>
    <t>Sep 3, 2025 7:52:49 AM PDT</t>
  </si>
  <si>
    <t>112-5571817-6834602</t>
  </si>
  <si>
    <t>Relso Stambha Solid Wood Drink Table - 24" Tall Round Accent Side Table for Living Room or Bedroom, Narrow End Table or Indoor Plant Stand, Walnut Fin</t>
  </si>
  <si>
    <t>CHICAGO</t>
  </si>
  <si>
    <t>IL</t>
  </si>
  <si>
    <t>Sep 3, 2025 8:55:48 AM PDT</t>
  </si>
  <si>
    <t>113-0234339-8266669</t>
  </si>
  <si>
    <t>CHARLOTTE</t>
  </si>
  <si>
    <t>Sep 3, 2025 12:25:14 PM PDT</t>
  </si>
  <si>
    <t>113-8182218-6427415</t>
  </si>
  <si>
    <t>St Cloud</t>
  </si>
  <si>
    <t>Sep 4, 2025 1:11:04 AM PDT</t>
  </si>
  <si>
    <t>114-9144832-1165035</t>
  </si>
  <si>
    <t>HANFORD</t>
  </si>
  <si>
    <t>Sep 4, 2025 2:51:47 AM PDT</t>
  </si>
  <si>
    <t>111-7196463-5953811</t>
  </si>
  <si>
    <t>MARTINEZ</t>
  </si>
  <si>
    <t>Sep 4, 2025 3:08:39 AM PDT</t>
  </si>
  <si>
    <t>111-5607869-4598601</t>
  </si>
  <si>
    <t>Relso Athena Marble Side Table with Stylish Round White Marble Top | Black Ribbed Base End Table Marble Offers Stability | Compact Design Small Accent</t>
  </si>
  <si>
    <t>NEWARK</t>
  </si>
  <si>
    <t>NJ</t>
  </si>
  <si>
    <t>07102</t>
  </si>
  <si>
    <t>Sep 4, 2025 3:13:25 AM PDT</t>
  </si>
  <si>
    <t>114-5516033-7457821</t>
  </si>
  <si>
    <t>Norman</t>
  </si>
  <si>
    <t>OK</t>
  </si>
  <si>
    <t>Sep 4, 2025 4:52:48 AM PDT</t>
  </si>
  <si>
    <t>111-8470975-6821037</t>
  </si>
  <si>
    <t>PLYMOUTH</t>
  </si>
  <si>
    <t>MN</t>
  </si>
  <si>
    <t>Sep 4, 2025 10:39:47 AM PDT</t>
  </si>
  <si>
    <t>113-3183692-7519425</t>
  </si>
  <si>
    <t>BOSSIER CITY</t>
  </si>
  <si>
    <t>LA</t>
  </si>
  <si>
    <t>Sep 5, 2025 8:29:34 PM PDT</t>
  </si>
  <si>
    <t>114-3514505-3681039</t>
  </si>
  <si>
    <t>NORTH EAST</t>
  </si>
  <si>
    <t>MD</t>
  </si>
  <si>
    <t>Sep 5, 2025 11:46:19 PM PDT</t>
  </si>
  <si>
    <t>113-4797825-8422632</t>
  </si>
  <si>
    <t>MENASHA</t>
  </si>
  <si>
    <t>WI</t>
  </si>
  <si>
    <t>Sep 6, 2025 2:32:35 AM PDT</t>
  </si>
  <si>
    <t>114-5087639-6957025</t>
  </si>
  <si>
    <t>BROOKLYN</t>
  </si>
  <si>
    <t>Sep 6, 2025 7:01:57 AM PDT</t>
  </si>
  <si>
    <t>113-3003677-5688227</t>
  </si>
  <si>
    <t>Enteka Solid Mango Wood Drink Table - 24" Tall Accent Side Table with Walnut Finish | Handcrafted, No Assembly Required | Perfect for Modern Living Ro</t>
  </si>
  <si>
    <t>AUSTIN</t>
  </si>
  <si>
    <t>TX</t>
  </si>
  <si>
    <t>Sep 6, 2025 2:22:50 PM PDT</t>
  </si>
  <si>
    <t>111-0008355-4040228</t>
  </si>
  <si>
    <t>Sep 7, 2025 1:14:12 AM PDT</t>
  </si>
  <si>
    <t>114-3052582-0653001</t>
  </si>
  <si>
    <t>NEW YORK</t>
  </si>
  <si>
    <t>Sep 7, 2025 2:28:33 AM PDT</t>
  </si>
  <si>
    <t>114-5669983-4873035</t>
  </si>
  <si>
    <t>Bambos End Table | Sold Mango Wood Bedside Table, Natural Finish Side Table for Living Room, Bedroom, Entryway | Handcrafted Nightstand, Easy Assembly</t>
  </si>
  <si>
    <t>SAN DIEGO</t>
  </si>
  <si>
    <t>Sep 7, 2025 5:37:52 AM PDT</t>
  </si>
  <si>
    <t>111-1583116-9677067</t>
  </si>
  <si>
    <t>OAK PARK</t>
  </si>
  <si>
    <t>Sep 7, 2025 6:14:58 AM PDT</t>
  </si>
  <si>
    <t>Sep 8, 2025 6:40:43 AM PDT</t>
  </si>
  <si>
    <t>111-5442420-5872248</t>
  </si>
  <si>
    <t>Sep 8, 2025 7:35:36 AM PDT</t>
  </si>
  <si>
    <t>114-7101013-4048203</t>
  </si>
  <si>
    <t>UNIONTOWN</t>
  </si>
  <si>
    <t>PA</t>
  </si>
  <si>
    <t>Sep 8, 2025 8:27:11 AM PDT</t>
  </si>
  <si>
    <t>112-6513769-1499442</t>
  </si>
  <si>
    <t>NORTH BRUNSWICK</t>
  </si>
  <si>
    <t>08902</t>
  </si>
  <si>
    <t>Sep 8, 2025 8:32:10 AM PDT</t>
  </si>
  <si>
    <t>111-4008897-3173847</t>
  </si>
  <si>
    <t>BETHLEHEM</t>
  </si>
  <si>
    <t>Sep 9, 2025 3:18:39 AM PDT</t>
  </si>
  <si>
    <t>112-1040781-3877801</t>
  </si>
  <si>
    <t>KATY</t>
  </si>
  <si>
    <t>Sep 9, 2025 6:25:11 AM PDT</t>
  </si>
  <si>
    <t>111-4274197-2185063</t>
  </si>
  <si>
    <t>SPRING</t>
  </si>
  <si>
    <t>Sep 9, 2025 9:17:44 AM PDT</t>
  </si>
  <si>
    <t>111-8029097-0893845</t>
  </si>
  <si>
    <t>Sep 10, 2025 1:24:21 AM PDT</t>
  </si>
  <si>
    <t>114-1470578-7989030</t>
  </si>
  <si>
    <t>JACKSONVILLE</t>
  </si>
  <si>
    <t>Sep 10, 2025 3:22:51 AM PDT</t>
  </si>
  <si>
    <t>111-3660507-5029854</t>
  </si>
  <si>
    <t>GLENDORA</t>
  </si>
  <si>
    <t>Sep 10, 2025 4:02:04 AM PDT</t>
  </si>
  <si>
    <t>Sep 10, 2025 5:44:05 AM PDT</t>
  </si>
  <si>
    <t>113-3224275-6073059</t>
  </si>
  <si>
    <t>WOODLAND HILLS</t>
  </si>
  <si>
    <t>Sep 10, 2025 7:58:40 AM PDT</t>
  </si>
  <si>
    <t>113-9568654-8001817</t>
  </si>
  <si>
    <t>SOLON</t>
  </si>
  <si>
    <t>IA</t>
  </si>
  <si>
    <t>Sep 10, 2025 8:42:35 AM PDT</t>
  </si>
  <si>
    <t>113-7215307-3615467</t>
  </si>
  <si>
    <t>NORTH JACKSON</t>
  </si>
  <si>
    <t>OH</t>
  </si>
  <si>
    <t>Sep 10, 2025 11:59:44 PM PDT</t>
  </si>
  <si>
    <t>113-6029833-8466638</t>
  </si>
  <si>
    <t>DENVER</t>
  </si>
  <si>
    <t>CO</t>
  </si>
  <si>
    <t>Sep 11, 2025 1:56:55 AM PDT</t>
  </si>
  <si>
    <t>113-4780000-5243417</t>
  </si>
  <si>
    <t>DALLAS</t>
  </si>
  <si>
    <t>Sep 11, 2025 4:09:51 AM PDT</t>
  </si>
  <si>
    <t>114-5056910-6853028</t>
  </si>
  <si>
    <t>MADERA</t>
  </si>
  <si>
    <t>Sep 11, 2025 4:55:17 AM PDT</t>
  </si>
  <si>
    <t>112-2209703-8835438</t>
  </si>
  <si>
    <t>SALEM</t>
  </si>
  <si>
    <t>Sep 11, 2025 8:35:58 AM PDT</t>
  </si>
  <si>
    <t>111-9742222-9501846</t>
  </si>
  <si>
    <t>COTTONWOOD</t>
  </si>
  <si>
    <t>Sep 11, 2025 8:38:05 AM PDT</t>
  </si>
  <si>
    <t>114-8524700-9219466</t>
  </si>
  <si>
    <t>WESLEY CHAPEL</t>
  </si>
  <si>
    <t>Sep 11, 2025 11:49:57 PM PDT</t>
  </si>
  <si>
    <t>114-1553197-1632242</t>
  </si>
  <si>
    <t>HOT SPRINGS VILLAGE</t>
  </si>
  <si>
    <t>AR</t>
  </si>
  <si>
    <t>Sep 12, 2025 12:21:58 AM PDT</t>
  </si>
  <si>
    <t>113-3641730-5681816</t>
  </si>
  <si>
    <t>VILLE PLATTE</t>
  </si>
  <si>
    <t>Sep 12, 2025 12:33:00 AM PDT</t>
  </si>
  <si>
    <t>111-8054252-8614618</t>
  </si>
  <si>
    <t>Sep 12, 2025 1:31:50 AM PDT</t>
  </si>
  <si>
    <t>111-4777066-8332207</t>
  </si>
  <si>
    <t>DORAL</t>
  </si>
  <si>
    <t>Sep 12, 2025 5:05:01 PM PDT</t>
  </si>
  <si>
    <t>Sep 12, 2025 6:34:03 PM PDT</t>
  </si>
  <si>
    <t>Sep 12, 2025 11:35:00 PM PDT</t>
  </si>
  <si>
    <t>114-5939332-1241007</t>
  </si>
  <si>
    <t>Bambos End Table - Solid Mango Wood Side Table with Bamboo-Inspired Legs | Handcrafted Accent Table for Living Room, Bedroom, Entryway | Easy Assembly</t>
  </si>
  <si>
    <t>CAROLINA BEACH</t>
  </si>
  <si>
    <t>Sep 13, 2025 12:25:16 AM PDT</t>
  </si>
  <si>
    <t>112-4125391-5588237</t>
  </si>
  <si>
    <t>HONOLULU</t>
  </si>
  <si>
    <t>HI</t>
  </si>
  <si>
    <t>Sep 13, 2025 1:00:55 AM PDT</t>
  </si>
  <si>
    <t>Sep 13, 2025 1:31:35 AM PDT</t>
  </si>
  <si>
    <t>Sep 13, 2025 1:32:44 AM PDT</t>
  </si>
  <si>
    <t>112-3769697-8921051</t>
  </si>
  <si>
    <t>Relso Aspen Round Coffee Table Set of 2 - Nesting Solid Wood Tables with Metal Legs | Natural Finish with Ring Pattern Top | Accent Tables for Living</t>
  </si>
  <si>
    <t>SAN MARCOS</t>
  </si>
  <si>
    <t>Sep 13, 2025 4:12:47 AM PDT</t>
  </si>
  <si>
    <t>113-7421467-4189042</t>
  </si>
  <si>
    <t>Sep 13, 2025 4:46:03 AM PDT</t>
  </si>
  <si>
    <t>114-0179892-7849831</t>
  </si>
  <si>
    <t>Sep 13, 2025 4:53:13 AM PDT</t>
  </si>
  <si>
    <t>112-1878099-7009041</t>
  </si>
  <si>
    <t>KENAI</t>
  </si>
  <si>
    <t>AK</t>
  </si>
  <si>
    <t>Sep 13, 2025 5:34:29 AM PDT</t>
  </si>
  <si>
    <t>112-1226491-0781035</t>
  </si>
  <si>
    <t>Sep 13, 2025 7:14:58 AM PDT</t>
  </si>
  <si>
    <t>114-0664556-0295402</t>
  </si>
  <si>
    <t>WALTHAM</t>
  </si>
  <si>
    <t>MA</t>
  </si>
  <si>
    <t>02453</t>
  </si>
  <si>
    <t>Sep 13, 2025 8:22:36 AM PDT</t>
  </si>
  <si>
    <t>112-7562853-8286612</t>
  </si>
  <si>
    <t>Sep 13, 2025 9:13:56 AM PDT</t>
  </si>
  <si>
    <t>Sep 13, 2025 9:14:17 AM PDT</t>
  </si>
  <si>
    <t>112-9381100-9583415</t>
  </si>
  <si>
    <t>SOUTHLAKE</t>
  </si>
  <si>
    <t>Sep 13, 2025 2:50:49 PM PDT</t>
  </si>
  <si>
    <t>Sep 13, 2025 11:36:17 PM PDT</t>
  </si>
  <si>
    <t>112-5089812-1244203</t>
  </si>
  <si>
    <t>FREDERICK</t>
  </si>
  <si>
    <t>Sep 14, 2025 3:46:22 AM PDT</t>
  </si>
  <si>
    <t>112-2201239-8582657</t>
  </si>
  <si>
    <t>Colorado Springs</t>
  </si>
  <si>
    <t>Colorado</t>
  </si>
  <si>
    <t>Sep 14, 2025 5:58:29 AM PDT</t>
  </si>
  <si>
    <t>112-3064850-2674608</t>
  </si>
  <si>
    <t>LAKEWOOD</t>
  </si>
  <si>
    <t>Sep 14, 2025 6:13:34 AM PDT</t>
  </si>
  <si>
    <t>114-2401301-9716248</t>
  </si>
  <si>
    <t>MIAMI</t>
  </si>
  <si>
    <t>Sep 14, 2025 8:46:56 AM PDT</t>
  </si>
  <si>
    <t>114-9461827-6117046</t>
  </si>
  <si>
    <t>MARBLEHEAD</t>
  </si>
  <si>
    <t>01945</t>
  </si>
  <si>
    <t>Sep 14, 2025 11:56:44 PM PDT</t>
  </si>
  <si>
    <t>113-4340938-7449019</t>
  </si>
  <si>
    <t>Sep 15, 2025 7:29:12 AM PDT</t>
  </si>
  <si>
    <t>113-7918350-4891435</t>
  </si>
  <si>
    <t>CATHEDRAL CITY</t>
  </si>
  <si>
    <t>CALIFORNIA</t>
  </si>
  <si>
    <t>Sep 15, 2025 9:16:23 AM PDT</t>
  </si>
  <si>
    <t>111-4047593-7921045</t>
  </si>
  <si>
    <t>SAN RAMON</t>
  </si>
  <si>
    <t>Sep 16, 2025 2:29:24 AM PDT</t>
  </si>
  <si>
    <t>114-5686079-4854624</t>
  </si>
  <si>
    <t>REDDING</t>
  </si>
  <si>
    <t>Sep 16, 2025 2:56:54 AM PDT</t>
  </si>
  <si>
    <t>111-9538631-4905052</t>
  </si>
  <si>
    <t>SUNNYVALE</t>
  </si>
  <si>
    <t>Sep 16, 2025 3:51:09 AM PDT</t>
  </si>
  <si>
    <t>111-8302474-6415447</t>
  </si>
  <si>
    <t>Sep 16, 2025 5:13:08 AM PDT</t>
  </si>
  <si>
    <t>114-6074379-9392256</t>
  </si>
  <si>
    <t>Invoiced Orders</t>
  </si>
  <si>
    <t>ROCKY MOUNT</t>
  </si>
  <si>
    <t>Sep 16, 2025 5:19:12 AM PDT</t>
  </si>
  <si>
    <t>113-7309295-7668218</t>
  </si>
  <si>
    <t>THORNTON</t>
  </si>
  <si>
    <t>Sep 16, 2025 8:10:51 AM PDT</t>
  </si>
  <si>
    <t>113-2151790-4909835</t>
  </si>
  <si>
    <t>Relso Enteka Solid Mango Wood End Table - 24" Tall Accent Side Table with Walnut Finish | Handcrafted Coffee Table, No Assembly Required | Perfect for</t>
  </si>
  <si>
    <t>GAINESVILLE</t>
  </si>
  <si>
    <t>Sep 17, 2025 5:51:05 AM PDT</t>
  </si>
  <si>
    <t>112-8624650-2337868</t>
  </si>
  <si>
    <t>Ventura</t>
  </si>
  <si>
    <t>Ca</t>
  </si>
  <si>
    <t>Sep 17, 2025 6:29:49 AM PDT</t>
  </si>
  <si>
    <t>114-7520320-1684240</t>
  </si>
  <si>
    <t>Mocha Console Table for Entryway or Living Room - Solid Mango Wood Sofa Table with Coffee Finish - Narrow Handcrafted Table for Hallway, Behind Couch</t>
  </si>
  <si>
    <t>ASTORIA</t>
  </si>
  <si>
    <t>Sep 17, 2025 6:45:34 AM PDT</t>
  </si>
  <si>
    <t>114-2074066-8988255</t>
  </si>
  <si>
    <t>INDIO</t>
  </si>
  <si>
    <t>Sep 17, 2025 12:47:22 PM PDT</t>
  </si>
  <si>
    <t>Sep 17, 2025 5:12:41 PM PDT</t>
  </si>
  <si>
    <t>113-9961844-2014663</t>
  </si>
  <si>
    <t>ROCKFORD</t>
  </si>
  <si>
    <t>Sep 17, 2025 6:30:47 PM PDT</t>
  </si>
  <si>
    <t>114-7489063-6953059</t>
  </si>
  <si>
    <t>DUBLIN</t>
  </si>
  <si>
    <t>Sep 17, 2025 8:49:28 PM PDT</t>
  </si>
  <si>
    <t>113-0633328-9892250</t>
  </si>
  <si>
    <t>KAPOLEI</t>
  </si>
  <si>
    <t>Sep 17, 2025 9:35:15 PM PDT</t>
  </si>
  <si>
    <t>Sep 17, 2025 11:10:02 PM PDT</t>
  </si>
  <si>
    <t>112-0948312-9405000</t>
  </si>
  <si>
    <t>LONG BEACH</t>
  </si>
  <si>
    <t>Sep 18, 2025 8:21:49 AM PDT</t>
  </si>
  <si>
    <t>112-0083589-0857076</t>
  </si>
  <si>
    <t>Sep 18, 2025 8:23:45 AM PDT</t>
  </si>
  <si>
    <t>Sep 18, 2025 8:35:50 AM PDT</t>
  </si>
  <si>
    <t>Sep 18, 2025 11:32:07 AM PDT</t>
  </si>
  <si>
    <t>113-2372145-9929058</t>
  </si>
  <si>
    <t>SUN LAKES</t>
  </si>
  <si>
    <t>AZ</t>
  </si>
  <si>
    <t>Sep 18, 2025 6:59:52 PM PDT</t>
  </si>
  <si>
    <t>113-0782208-7989816</t>
  </si>
  <si>
    <t>OWINGS MILLS</t>
  </si>
  <si>
    <t>Sep 18, 2025 7:57:36 PM PDT</t>
  </si>
  <si>
    <t>111-6105523-6740241</t>
  </si>
  <si>
    <t>CENTERPORT</t>
  </si>
  <si>
    <t>Sep 19, 2025 12:46:11 AM PDT</t>
  </si>
  <si>
    <t>113-3900722-5358655</t>
  </si>
  <si>
    <t>Sep 19, 2025 12:53:41 AM PDT</t>
  </si>
  <si>
    <t>114-5235731-9710646</t>
  </si>
  <si>
    <t>WHITINSVILLE</t>
  </si>
  <si>
    <t>01588</t>
  </si>
  <si>
    <t>Sep 19, 2025 4:13:07 AM PDT</t>
  </si>
  <si>
    <t>111-2171229-9276239</t>
  </si>
  <si>
    <t>Relso Cascade Nesting Tables for Living Room with Premium Sheesham Wood Construction | Nesting End Tables with Smooth Curved Edges for Safety and Soph</t>
  </si>
  <si>
    <t>WENDELL</t>
  </si>
  <si>
    <t>Sep 19, 2025 4:42:14 AM PDT</t>
  </si>
  <si>
    <t>112-3179540-0471418</t>
  </si>
  <si>
    <t>Relso Gaia Round Coffee Table, Natural Mango Wood Coffee Table with Wood Grain and Sturdy Finish | Perfect for Living Room and Farm House - Sturdy, Du</t>
  </si>
  <si>
    <t>AURORA</t>
  </si>
  <si>
    <t>Sep 19, 2025 4:42:25 AM PDT</t>
  </si>
  <si>
    <t>114-9698733-3777829</t>
  </si>
  <si>
    <t>Sep 19, 2025 8:25:07 AM PDT</t>
  </si>
  <si>
    <t>Sep 19, 2025 12:47:12 PM PDT</t>
  </si>
  <si>
    <t>Sep 20, 2025 1:44:34 AM PDT</t>
  </si>
  <si>
    <t>114-2417430-0005046</t>
  </si>
  <si>
    <t>HUNTINGTON BEACH</t>
  </si>
  <si>
    <t>Sep 20, 2025 4:14:00 AM PDT</t>
  </si>
  <si>
    <t>111-9504705-2907436</t>
  </si>
  <si>
    <t>SAINT JOHNS</t>
  </si>
  <si>
    <t>Sep 20, 2025 6:19:59 AM PDT</t>
  </si>
  <si>
    <t>113-5390062-3326636</t>
  </si>
  <si>
    <t>ASPEN</t>
  </si>
  <si>
    <t>Sep 20, 2025 7:19:53 AM PDT</t>
  </si>
  <si>
    <t>Sep 20, 2025 12:46:38 PM PDT</t>
  </si>
  <si>
    <t>Sep 20, 2025 2:29:10 PM PDT</t>
  </si>
  <si>
    <t>Sep 21, 2025 3:26:17 AM PDT</t>
  </si>
  <si>
    <t>112-2492419-1688253</t>
  </si>
  <si>
    <t>MESA</t>
  </si>
  <si>
    <t>Sep 22, 2025 2:32:15 AM PDT</t>
  </si>
  <si>
    <t>111-4835595-0693855</t>
  </si>
  <si>
    <t>SPOKANE VALLEY</t>
  </si>
  <si>
    <t>Sep 22, 2025 5:03:13 AM PDT</t>
  </si>
  <si>
    <t>114-1090276-4401017</t>
  </si>
  <si>
    <t>WEST CHICAGO</t>
  </si>
  <si>
    <t>Sep 22, 2025 7:34:08 AM PDT</t>
  </si>
  <si>
    <t>114-0152117-5818620</t>
  </si>
  <si>
    <t>FLORENCE</t>
  </si>
  <si>
    <t>SC</t>
  </si>
  <si>
    <t>Sep 22, 2025 9:03:37 AM PDT</t>
  </si>
  <si>
    <t>Sep 22, 2025 5:45:12 PM PDT</t>
  </si>
  <si>
    <t>111-2053015-4777811</t>
  </si>
  <si>
    <t>Santa Barbara</t>
  </si>
  <si>
    <t>Sep 23, 2025 12:38:26 AM PDT</t>
  </si>
  <si>
    <t>113-1650043-7425824</t>
  </si>
  <si>
    <t>KIRKLAND</t>
  </si>
  <si>
    <t>Sep 23, 2025 3:04:14 AM PDT</t>
  </si>
  <si>
    <t>112-5384731-5323403</t>
  </si>
  <si>
    <t>OVERLAND PARK</t>
  </si>
  <si>
    <t>KS</t>
  </si>
  <si>
    <t>Sep 23, 2025 5:02:26 AM PDT</t>
  </si>
  <si>
    <t>Sep 23, 2025 7:51:58 AM PDT</t>
  </si>
  <si>
    <t>114-6825136-5806614</t>
  </si>
  <si>
    <t>PALMETTO</t>
  </si>
  <si>
    <t>Sep 23, 2025 9:40:09 PM PDT</t>
  </si>
  <si>
    <t>Sep 24, 2025 6:48:15 PM PDT</t>
  </si>
  <si>
    <t>113-5022275-4361832</t>
  </si>
  <si>
    <t>LONDONDERRY</t>
  </si>
  <si>
    <t>NH</t>
  </si>
  <si>
    <t>03053</t>
  </si>
  <si>
    <t>Sep 24, 2025 7:43:26 PM PDT</t>
  </si>
  <si>
    <t>114-2423151-5173821</t>
  </si>
  <si>
    <t>FRANKFORT</t>
  </si>
  <si>
    <t>KY</t>
  </si>
  <si>
    <t>Sep 25, 2025 1:22:42 AM PDT</t>
  </si>
  <si>
    <t>113-6038478-6357019</t>
  </si>
  <si>
    <t>WILLOWBROOK</t>
  </si>
  <si>
    <t>Sep 25, 2025 5:47:55 AM PDT</t>
  </si>
  <si>
    <t>113-8816188-0595457</t>
  </si>
  <si>
    <t>Sep 25, 2025 12:06:23 PM PDT</t>
  </si>
  <si>
    <t>112-2790917-9878669</t>
  </si>
  <si>
    <t>GIG HARBOR</t>
  </si>
  <si>
    <t>Sep 26, 2025 3:07:36 AM PDT</t>
  </si>
  <si>
    <t>114-9034345-9715464</t>
  </si>
  <si>
    <t>COTTONWOOD HEIGHTS</t>
  </si>
  <si>
    <t>UT</t>
  </si>
  <si>
    <t>Sep 26, 2025 8:34:55 AM PDT</t>
  </si>
  <si>
    <t>114-3113012-8011422</t>
  </si>
  <si>
    <t>BUFFALO</t>
  </si>
  <si>
    <t>Sep 26, 2025 9:20:09 AM PDT</t>
  </si>
  <si>
    <t>114-8658505-0280242</t>
  </si>
  <si>
    <t>DES MOINES</t>
  </si>
  <si>
    <t>IOWA</t>
  </si>
  <si>
    <t>Sep 26, 2025 9:35:01 AM PDT</t>
  </si>
  <si>
    <t>114-4663946-7691467</t>
  </si>
  <si>
    <t>PINGREE GROVE</t>
  </si>
  <si>
    <t>Sep 27, 2025 2:36:29 AM PDT</t>
  </si>
  <si>
    <t>112-0383823-7486658</t>
  </si>
  <si>
    <t>GARDEN CITY</t>
  </si>
  <si>
    <t>Sep 27, 2025 3:56:48 AM PDT</t>
  </si>
  <si>
    <t>114-2990995-5699427</t>
  </si>
  <si>
    <t>NAPA</t>
  </si>
  <si>
    <t>Sep 27, 2025 8:39:46 AM PDT</t>
  </si>
  <si>
    <t>111-3234441-0077059</t>
  </si>
  <si>
    <t>Northville</t>
  </si>
  <si>
    <t>Michigan</t>
  </si>
  <si>
    <t>Sep 27, 2025 5:27:46 PM PDT</t>
  </si>
  <si>
    <t>113-7805258-8090628</t>
  </si>
  <si>
    <t>Sep 28, 2025 4:32:29 AM PDT</t>
  </si>
  <si>
    <t>113-7863323-6840251</t>
  </si>
  <si>
    <t>LAS VEGAS</t>
  </si>
  <si>
    <t>NV</t>
  </si>
  <si>
    <t>Sep 28, 2025 5:28:56 AM PDT</t>
  </si>
  <si>
    <t>112-9458799-0202602</t>
  </si>
  <si>
    <t>VIENNA</t>
  </si>
  <si>
    <t>VA</t>
  </si>
  <si>
    <t>Sep 28, 2025 5:41:10 AM PDT</t>
  </si>
  <si>
    <t>113-6279379-7777013</t>
  </si>
  <si>
    <t>INDIANAPOLIS</t>
  </si>
  <si>
    <t>IN</t>
  </si>
  <si>
    <t>Sep 28, 2025 12:27:02 PM PDT</t>
  </si>
  <si>
    <t>Sep 28, 2025 10:44:57 PM PDT</t>
  </si>
  <si>
    <t>114-7845226-1277036</t>
  </si>
  <si>
    <t>OGDEN</t>
  </si>
  <si>
    <t>Sep 28, 2025 11:29:36 PM PDT</t>
  </si>
  <si>
    <t>114-0931262-6522628</t>
  </si>
  <si>
    <t>JERSEY CITY</t>
  </si>
  <si>
    <t>07307</t>
  </si>
  <si>
    <t>Sep 29, 2025 2:46:55 AM PDT</t>
  </si>
  <si>
    <t>111-6844418-3180205</t>
  </si>
  <si>
    <t>BELMONT</t>
  </si>
  <si>
    <t>02478</t>
  </si>
  <si>
    <t>Sep 29, 2025 5:58:45 AM PDT</t>
  </si>
  <si>
    <t>Sep 29, 2025 10:07:29 PM PDT</t>
  </si>
  <si>
    <t>113-7983793-0649816</t>
  </si>
  <si>
    <t>Sep 30, 2025 5:23:13 AM PDT</t>
  </si>
  <si>
    <t>113-8088230-4120222</t>
  </si>
  <si>
    <t>YORBA LINDA</t>
  </si>
  <si>
    <t>Sep 30, 2025 6:45:30 PM PDT</t>
  </si>
  <si>
    <t>112-2511048-9788255</t>
  </si>
  <si>
    <t>Sum of total</t>
  </si>
  <si>
    <t>Adjustment</t>
  </si>
  <si>
    <t>FBA Inventory Reimbursement - Customer Return</t>
  </si>
  <si>
    <t>FBA Inventory Reimbursement - Customer Service Issue</t>
  </si>
  <si>
    <t>FBA Inventory Reimbursement - General Adjustment</t>
  </si>
  <si>
    <t>FBA Inventory Reimbursement - Lost:Warehouse</t>
  </si>
  <si>
    <t>Amazon Fees</t>
  </si>
  <si>
    <t>Coupon Participation Fee</t>
  </si>
  <si>
    <t>Coupon Performance Based Fee</t>
  </si>
  <si>
    <t>A-to-z Guarantee Claim</t>
  </si>
  <si>
    <t>Debt</t>
  </si>
  <si>
    <t>amzn1.cam.v1.sgid.24242878751</t>
  </si>
  <si>
    <t>amzn1.cam.v1.sgid.24450080321</t>
  </si>
  <si>
    <t>FBA Inventory Fee</t>
  </si>
  <si>
    <t>FBA Removal Order: Disposal Fee</t>
  </si>
  <si>
    <t>FBA storage fee</t>
  </si>
  <si>
    <t>(blank)</t>
  </si>
  <si>
    <t>Order_Retrocharge</t>
  </si>
  <si>
    <t>retrocharge for orderid 113-4216715-4789826</t>
  </si>
  <si>
    <t>Service Fee</t>
  </si>
  <si>
    <t>Cost of Advertising</t>
  </si>
  <si>
    <t>Subscription</t>
  </si>
  <si>
    <t>Shipping Services</t>
  </si>
  <si>
    <t>ReturnPostageBilling</t>
  </si>
  <si>
    <t>Shipping Label Purchased through Amazon</t>
  </si>
  <si>
    <t>Transfer</t>
  </si>
  <si>
    <t>To your account ending in: 219, Bank Transfer ID: 6J6ZZ6RL8GLF87A</t>
  </si>
  <si>
    <t>To your account ending in: 219, Bank Transfer ID: P5BVMJCZMU8EJ16</t>
  </si>
  <si>
    <t>FBA fullfillment fees</t>
  </si>
  <si>
    <t>Return fees</t>
  </si>
  <si>
    <t>Ad cost</t>
  </si>
  <si>
    <t>Margin before COGS</t>
  </si>
  <si>
    <t>Landed COGS%</t>
  </si>
  <si>
    <t>Margin after COGS</t>
  </si>
  <si>
    <t>Units</t>
  </si>
  <si>
    <t>Jan'25</t>
  </si>
  <si>
    <t>Feb'25</t>
  </si>
  <si>
    <t>Mar'25</t>
  </si>
  <si>
    <t>Apr'25</t>
  </si>
  <si>
    <t>May'25</t>
  </si>
  <si>
    <t>Total</t>
  </si>
  <si>
    <t>Jan</t>
  </si>
  <si>
    <t>Feb</t>
  </si>
  <si>
    <t>Mar</t>
  </si>
  <si>
    <t>Apr</t>
  </si>
  <si>
    <t>May</t>
  </si>
  <si>
    <t>NA</t>
  </si>
  <si>
    <t>Sales</t>
  </si>
  <si>
    <t>Wt. avg ASP</t>
  </si>
</sst>
</file>

<file path=xl/styles.xml><?xml version="1.0" encoding="utf-8"?>
<styleSheet xmlns="http://schemas.openxmlformats.org/spreadsheetml/2006/main" xmlns:x14ac="http://schemas.microsoft.com/office/spreadsheetml/2009/9/ac" xmlns:mc="http://schemas.openxmlformats.org/markup-compatibility/2006">
  <numFmts count="6">
    <numFmt numFmtId="164" formatCode="&quot;$&quot;#,##0.00"/>
    <numFmt numFmtId="165" formatCode="0.0"/>
    <numFmt numFmtId="166" formatCode="&quot;$&quot;#,##0"/>
    <numFmt numFmtId="167" formatCode="0.000"/>
    <numFmt numFmtId="168" formatCode="0.0%"/>
    <numFmt numFmtId="169" formatCode="[$₹]#,##0.00"/>
  </numFmts>
  <fonts count="15">
    <font>
      <sz val="11.0"/>
      <color theme="1"/>
      <name val="Aptos Narrow"/>
      <scheme val="minor"/>
    </font>
    <font>
      <color theme="1"/>
      <name val="Arial"/>
    </font>
    <font>
      <b/>
      <color theme="1"/>
      <name val="Arial"/>
    </font>
    <font/>
    <font>
      <sz val="11.0"/>
      <color theme="1"/>
      <name val="Arial"/>
    </font>
    <font>
      <color theme="1"/>
      <name val="Aptos Narrow"/>
      <scheme val="minor"/>
    </font>
    <font>
      <b/>
      <color theme="1"/>
      <name val="Aptos Narrow"/>
      <scheme val="minor"/>
    </font>
    <font>
      <b/>
      <sz val="11.0"/>
      <color rgb="FF232F3E"/>
      <name val="&quot;Amazon Ember&quot;"/>
    </font>
    <font>
      <sz val="11.0"/>
      <color rgb="FF474A4F"/>
      <name val="&quot;Amazon Ember&quot;"/>
    </font>
    <font>
      <sz val="11.0"/>
      <color rgb="FF232F3E"/>
      <name val="&quot;Amazon Ember&quot;"/>
    </font>
    <font>
      <sz val="11.0"/>
      <color theme="1"/>
      <name val="Aptos Narrow"/>
    </font>
    <font>
      <b/>
      <sz val="11.0"/>
      <color theme="1"/>
      <name val="Arial"/>
    </font>
    <font>
      <i/>
      <color theme="1"/>
      <name val="Arial"/>
    </font>
    <font>
      <b/>
      <u/>
      <color theme="1"/>
      <name val="Arial"/>
    </font>
    <font>
      <b/>
      <sz val="11.0"/>
      <color theme="1"/>
      <name val="Aptos Narrow"/>
    </font>
  </fonts>
  <fills count="18">
    <fill>
      <patternFill patternType="none"/>
    </fill>
    <fill>
      <patternFill patternType="lightGray"/>
    </fill>
    <fill>
      <patternFill patternType="solid">
        <fgColor rgb="FFFFF2CC"/>
        <bgColor rgb="FFFFF2CC"/>
      </patternFill>
    </fill>
    <fill>
      <patternFill patternType="solid">
        <fgColor rgb="FF00FFFF"/>
        <bgColor rgb="FF00FFFF"/>
      </patternFill>
    </fill>
    <fill>
      <patternFill patternType="solid">
        <fgColor rgb="FF00FF00"/>
        <bgColor rgb="FF00FF00"/>
      </patternFill>
    </fill>
    <fill>
      <patternFill patternType="solid">
        <fgColor rgb="FFD9EAD3"/>
        <bgColor rgb="FFD9EAD3"/>
      </patternFill>
    </fill>
    <fill>
      <patternFill patternType="solid">
        <fgColor rgb="FFEAD1DC"/>
        <bgColor rgb="FFEAD1DC"/>
      </patternFill>
    </fill>
    <fill>
      <patternFill patternType="solid">
        <fgColor rgb="FFFCE5CD"/>
        <bgColor rgb="FFFCE5CD"/>
      </patternFill>
    </fill>
    <fill>
      <patternFill patternType="solid">
        <fgColor rgb="FFFFFFFF"/>
        <bgColor rgb="FFFFFFFF"/>
      </patternFill>
    </fill>
    <fill>
      <patternFill patternType="solid">
        <fgColor rgb="FFE7E7E7"/>
        <bgColor rgb="FFE7E7E7"/>
      </patternFill>
    </fill>
    <fill>
      <patternFill patternType="solid">
        <fgColor rgb="FFC1E4F5"/>
        <bgColor rgb="FFC1E4F5"/>
      </patternFill>
    </fill>
    <fill>
      <patternFill patternType="solid">
        <fgColor rgb="FF83CAEB"/>
        <bgColor rgb="FF83CAEB"/>
      </patternFill>
    </fill>
    <fill>
      <patternFill patternType="solid">
        <fgColor rgb="FFFF9900"/>
        <bgColor rgb="FFFF9900"/>
      </patternFill>
    </fill>
    <fill>
      <patternFill patternType="solid">
        <fgColor rgb="FF6AA84F"/>
        <bgColor rgb="FF6AA84F"/>
      </patternFill>
    </fill>
    <fill>
      <patternFill patternType="solid">
        <fgColor rgb="FF93C47D"/>
        <bgColor rgb="FF93C47D"/>
      </patternFill>
    </fill>
    <fill>
      <patternFill patternType="solid">
        <fgColor rgb="FFFF0000"/>
        <bgColor rgb="FFFF0000"/>
      </patternFill>
    </fill>
    <fill>
      <patternFill patternType="solid">
        <fgColor rgb="FFFFFF00"/>
        <bgColor rgb="FFFFFF00"/>
      </patternFill>
    </fill>
    <fill>
      <patternFill patternType="solid">
        <fgColor theme="0"/>
        <bgColor theme="0"/>
      </patternFill>
    </fill>
  </fills>
  <borders count="13">
    <border/>
    <border>
      <left style="thin">
        <color rgb="FF999999"/>
      </left>
      <top style="thin">
        <color rgb="FF999999"/>
      </top>
    </border>
    <border>
      <top style="thin">
        <color rgb="FF999999"/>
      </top>
    </border>
    <border>
      <right style="thin">
        <color rgb="FF999999"/>
      </right>
      <top style="thin">
        <color rgb="FF999999"/>
      </top>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
      <left style="thin">
        <color rgb="FF000000"/>
      </left>
      <right style="thin">
        <color rgb="FF000000"/>
      </right>
      <top style="thin">
        <color rgb="FF000000"/>
      </top>
    </border>
    <border>
      <left style="thin">
        <color rgb="FF000000"/>
      </left>
      <right style="thin">
        <color rgb="FF000000"/>
      </right>
      <top style="thin">
        <color rgb="FF000000"/>
      </top>
      <bottom style="thin">
        <color rgb="FF000000"/>
      </bottom>
    </border>
    <border>
      <left style="thin">
        <color rgb="FFB7B7B7"/>
      </left>
      <right style="thin">
        <color rgb="FFB7B7B7"/>
      </right>
      <top style="thin">
        <color rgb="FFB7B7B7"/>
      </top>
      <bottom style="thin">
        <color rgb="FFB7B7B7"/>
      </bottom>
    </border>
    <border>
      <left style="thin">
        <color rgb="FF999999"/>
      </left>
      <right style="thin">
        <color rgb="FF999999"/>
      </right>
      <top style="thin">
        <color rgb="FF999999"/>
      </top>
    </border>
    <border>
      <left style="thin">
        <color rgb="FF999999"/>
      </left>
      <right style="thin">
        <color rgb="FF999999"/>
      </right>
      <top style="thin">
        <color rgb="FF999999"/>
      </top>
      <bottom style="thin">
        <color rgb="FF999999"/>
      </bottom>
    </border>
    <border>
      <right style="thin">
        <color rgb="FF999999"/>
      </right>
      <top style="thin">
        <color rgb="FF999999"/>
      </top>
      <bottom style="thin">
        <color rgb="FF999999"/>
      </bottom>
    </border>
  </borders>
  <cellStyleXfs count="1">
    <xf borderId="0" fillId="0" fontId="0" numFmtId="0" applyAlignment="1" applyFont="1"/>
  </cellStyleXfs>
  <cellXfs count="240">
    <xf borderId="0" fillId="0" fontId="0" numFmtId="0" xfId="0" applyAlignment="1" applyFont="1">
      <alignment readingOrder="0" shrinkToFit="0" vertical="bottom" wrapText="0"/>
    </xf>
    <xf borderId="0" fillId="0" fontId="1" numFmtId="0" xfId="0" applyFont="1"/>
    <xf borderId="0" fillId="0" fontId="1" numFmtId="164" xfId="0" applyFont="1" applyNumberFormat="1"/>
    <xf borderId="0" fillId="0" fontId="1" numFmtId="0" xfId="0" applyAlignment="1" applyFont="1">
      <alignment horizontal="center" readingOrder="0"/>
    </xf>
    <xf borderId="0" fillId="2" fontId="1" numFmtId="9" xfId="0" applyAlignment="1" applyFill="1" applyFont="1" applyNumberFormat="1">
      <alignment horizontal="center" readingOrder="0"/>
    </xf>
    <xf borderId="0" fillId="0" fontId="1" numFmtId="0" xfId="0" applyAlignment="1" applyFont="1">
      <alignment vertical="bottom"/>
    </xf>
    <xf borderId="0" fillId="0" fontId="1" numFmtId="0" xfId="0" applyAlignment="1" applyFont="1">
      <alignment readingOrder="0" shrinkToFit="0" wrapText="1"/>
    </xf>
    <xf borderId="0" fillId="0" fontId="1" numFmtId="0" xfId="0" applyAlignment="1" applyFont="1">
      <alignment readingOrder="0"/>
    </xf>
    <xf borderId="0" fillId="0" fontId="1" numFmtId="164" xfId="0" applyAlignment="1" applyFont="1" applyNumberFormat="1">
      <alignment horizontal="right"/>
    </xf>
    <xf borderId="1" fillId="3" fontId="2" numFmtId="0" xfId="0" applyAlignment="1" applyBorder="1" applyFill="1" applyFont="1">
      <alignment horizontal="center" readingOrder="0" shrinkToFit="0" wrapText="1"/>
    </xf>
    <xf borderId="2" fillId="0" fontId="3" numFmtId="0" xfId="0" applyBorder="1" applyFont="1"/>
    <xf borderId="3" fillId="0" fontId="3" numFmtId="0" xfId="0" applyBorder="1" applyFont="1"/>
    <xf borderId="0" fillId="0" fontId="2" numFmtId="0" xfId="0" applyAlignment="1" applyFont="1">
      <alignment horizontal="center" readingOrder="0" shrinkToFit="0" wrapText="1"/>
    </xf>
    <xf borderId="0" fillId="2" fontId="1" numFmtId="0" xfId="0" applyAlignment="1" applyFont="1">
      <alignment horizontal="center" readingOrder="0"/>
    </xf>
    <xf borderId="0" fillId="2" fontId="1" numFmtId="164" xfId="0" applyAlignment="1" applyFont="1" applyNumberFormat="1">
      <alignment horizontal="center" readingOrder="0"/>
    </xf>
    <xf borderId="4" fillId="0" fontId="1" numFmtId="0" xfId="0" applyAlignment="1" applyBorder="1" applyFont="1">
      <alignment horizontal="center" vertical="bottom"/>
    </xf>
    <xf borderId="5" fillId="0" fontId="3" numFmtId="0" xfId="0" applyBorder="1" applyFont="1"/>
    <xf borderId="6" fillId="0" fontId="3" numFmtId="0" xfId="0" applyBorder="1" applyFont="1"/>
    <xf borderId="0" fillId="0" fontId="1" numFmtId="9" xfId="0" applyAlignment="1" applyFont="1" applyNumberFormat="1">
      <alignment readingOrder="0"/>
    </xf>
    <xf borderId="0" fillId="0" fontId="1" numFmtId="9" xfId="0" applyAlignment="1" applyFont="1" applyNumberFormat="1">
      <alignment horizontal="center" readingOrder="0"/>
    </xf>
    <xf borderId="7" fillId="3" fontId="2" numFmtId="0" xfId="0" applyAlignment="1" applyBorder="1" applyFont="1">
      <alignment horizontal="center" shrinkToFit="0" vertical="center" wrapText="1"/>
    </xf>
    <xf borderId="8" fillId="3" fontId="2" numFmtId="0" xfId="0" applyAlignment="1" applyBorder="1" applyFont="1">
      <alignment horizontal="center" readingOrder="0" shrinkToFit="0" vertical="center" wrapText="1"/>
    </xf>
    <xf borderId="8" fillId="3" fontId="2" numFmtId="0" xfId="0" applyAlignment="1" applyBorder="1" applyFont="1">
      <alignment horizontal="center" shrinkToFit="0" vertical="center" wrapText="1"/>
    </xf>
    <xf borderId="8" fillId="4" fontId="2" numFmtId="0" xfId="0" applyAlignment="1" applyBorder="1" applyFill="1" applyFont="1">
      <alignment horizontal="center" readingOrder="0" shrinkToFit="0" vertical="center" wrapText="1"/>
    </xf>
    <xf borderId="9" fillId="5" fontId="1" numFmtId="0" xfId="0" applyBorder="1" applyFill="1" applyFont="1"/>
    <xf borderId="0" fillId="0" fontId="1" numFmtId="0" xfId="0" applyAlignment="1" applyFont="1">
      <alignment horizontal="center" readingOrder="0" vertical="center"/>
    </xf>
    <xf borderId="0" fillId="2" fontId="1" numFmtId="165" xfId="0" applyAlignment="1" applyFont="1" applyNumberFormat="1">
      <alignment horizontal="center" vertical="center"/>
    </xf>
    <xf borderId="0" fillId="2" fontId="1" numFmtId="165" xfId="0" applyAlignment="1" applyFont="1" applyNumberFormat="1">
      <alignment horizontal="center" readingOrder="0" vertical="center"/>
    </xf>
    <xf borderId="0" fillId="2" fontId="1" numFmtId="1" xfId="0" applyAlignment="1" applyFont="1" applyNumberFormat="1">
      <alignment horizontal="center" readingOrder="0" vertical="center"/>
    </xf>
    <xf borderId="0" fillId="0" fontId="1" numFmtId="2" xfId="0" applyAlignment="1" applyFont="1" applyNumberFormat="1">
      <alignment horizontal="center" vertical="center"/>
    </xf>
    <xf borderId="0" fillId="0" fontId="1" numFmtId="164" xfId="0" applyAlignment="1" applyFont="1" applyNumberFormat="1">
      <alignment horizontal="center" vertical="center"/>
    </xf>
    <xf borderId="0" fillId="0" fontId="1" numFmtId="165" xfId="0" applyAlignment="1" applyFont="1" applyNumberFormat="1">
      <alignment horizontal="center" vertical="center"/>
    </xf>
    <xf borderId="0" fillId="0" fontId="1" numFmtId="0" xfId="0" applyAlignment="1" applyFont="1">
      <alignment horizontal="center" vertical="center"/>
    </xf>
    <xf borderId="0" fillId="0" fontId="1" numFmtId="164" xfId="0" applyAlignment="1" applyFont="1" applyNumberFormat="1">
      <alignment horizontal="center" readingOrder="0" vertical="center"/>
    </xf>
    <xf borderId="0" fillId="2" fontId="1" numFmtId="9" xfId="0" applyAlignment="1" applyFont="1" applyNumberFormat="1">
      <alignment horizontal="center" readingOrder="0" vertical="center"/>
    </xf>
    <xf borderId="0" fillId="0" fontId="1" numFmtId="10" xfId="0" applyAlignment="1" applyFont="1" applyNumberFormat="1">
      <alignment horizontal="center" vertical="center"/>
    </xf>
    <xf borderId="0" fillId="2" fontId="1" numFmtId="10" xfId="0" applyAlignment="1" applyFont="1" applyNumberFormat="1">
      <alignment horizontal="center" readingOrder="0" vertical="center"/>
    </xf>
    <xf borderId="0" fillId="0" fontId="1" numFmtId="164" xfId="0" applyAlignment="1" applyFont="1" applyNumberFormat="1">
      <alignment horizontal="center" vertical="center"/>
    </xf>
    <xf borderId="0" fillId="2" fontId="1" numFmtId="166" xfId="0" applyAlignment="1" applyFont="1" applyNumberFormat="1">
      <alignment horizontal="center" readingOrder="0" vertical="center"/>
    </xf>
    <xf borderId="9" fillId="6" fontId="1" numFmtId="0" xfId="0" applyBorder="1" applyFill="1" applyFont="1"/>
    <xf borderId="0" fillId="6" fontId="1" numFmtId="0" xfId="0" applyAlignment="1" applyFont="1">
      <alignment horizontal="center" readingOrder="0" vertical="center"/>
    </xf>
    <xf borderId="0" fillId="6" fontId="1" numFmtId="165" xfId="0" applyAlignment="1" applyFont="1" applyNumberFormat="1">
      <alignment horizontal="center" vertical="center"/>
    </xf>
    <xf borderId="0" fillId="6" fontId="1" numFmtId="1" xfId="0" applyAlignment="1" applyFont="1" applyNumberFormat="1">
      <alignment horizontal="center" vertical="center"/>
    </xf>
    <xf borderId="0" fillId="6" fontId="1" numFmtId="167" xfId="0" applyAlignment="1" applyFont="1" applyNumberFormat="1">
      <alignment horizontal="center" vertical="center"/>
    </xf>
    <xf borderId="0" fillId="6" fontId="1" numFmtId="164" xfId="0" applyAlignment="1" applyFont="1" applyNumberFormat="1">
      <alignment horizontal="center" vertical="center"/>
    </xf>
    <xf borderId="0" fillId="6" fontId="1" numFmtId="0" xfId="0" applyAlignment="1" applyFont="1">
      <alignment horizontal="center" vertical="center"/>
    </xf>
    <xf borderId="0" fillId="6" fontId="1" numFmtId="2" xfId="0" applyAlignment="1" applyFont="1" applyNumberFormat="1">
      <alignment horizontal="center" vertical="center"/>
    </xf>
    <xf borderId="0" fillId="6" fontId="1" numFmtId="164" xfId="0" applyAlignment="1" applyFont="1" applyNumberFormat="1">
      <alignment horizontal="center" readingOrder="0" vertical="center"/>
    </xf>
    <xf borderId="0" fillId="6" fontId="1" numFmtId="9" xfId="0" applyAlignment="1" applyFont="1" applyNumberFormat="1">
      <alignment horizontal="center" readingOrder="0" vertical="center"/>
    </xf>
    <xf borderId="0" fillId="6" fontId="1" numFmtId="10" xfId="0" applyAlignment="1" applyFont="1" applyNumberFormat="1">
      <alignment horizontal="center" vertical="center"/>
    </xf>
    <xf borderId="0" fillId="6" fontId="1" numFmtId="10" xfId="0" applyAlignment="1" applyFont="1" applyNumberFormat="1">
      <alignment horizontal="center" readingOrder="0" vertical="center"/>
    </xf>
    <xf borderId="0" fillId="6" fontId="1" numFmtId="164" xfId="0" applyAlignment="1" applyFont="1" applyNumberFormat="1">
      <alignment horizontal="center" vertical="center"/>
    </xf>
    <xf borderId="0" fillId="6" fontId="1" numFmtId="166" xfId="0" applyAlignment="1" applyFont="1" applyNumberFormat="1">
      <alignment horizontal="center" readingOrder="0" vertical="center"/>
    </xf>
    <xf borderId="0" fillId="2" fontId="1" numFmtId="1" xfId="0" applyAlignment="1" applyFont="1" applyNumberFormat="1">
      <alignment horizontal="center" vertical="center"/>
    </xf>
    <xf borderId="0" fillId="0" fontId="1" numFmtId="167" xfId="0" applyAlignment="1" applyFont="1" applyNumberFormat="1">
      <alignment horizontal="center" vertical="center"/>
    </xf>
    <xf borderId="9" fillId="5" fontId="1" numFmtId="0" xfId="0" applyAlignment="1" applyBorder="1" applyFont="1">
      <alignment vertical="bottom"/>
    </xf>
    <xf borderId="9" fillId="7" fontId="1" numFmtId="0" xfId="0" applyAlignment="1" applyBorder="1" applyFill="1" applyFont="1">
      <alignment vertical="bottom"/>
    </xf>
    <xf borderId="0" fillId="2" fontId="4" numFmtId="1" xfId="0" applyAlignment="1" applyFont="1" applyNumberFormat="1">
      <alignment horizontal="center"/>
    </xf>
    <xf borderId="9" fillId="0" fontId="1" numFmtId="0" xfId="0" applyAlignment="1" applyBorder="1" applyFont="1">
      <alignment vertical="bottom"/>
    </xf>
    <xf borderId="9" fillId="8" fontId="1" numFmtId="0" xfId="0" applyAlignment="1" applyBorder="1" applyFill="1" applyFont="1">
      <alignment readingOrder="0"/>
    </xf>
    <xf borderId="9" fillId="8" fontId="1" numFmtId="0" xfId="0" applyBorder="1" applyFont="1"/>
    <xf borderId="9" fillId="2" fontId="1" numFmtId="0" xfId="0" applyBorder="1" applyFont="1"/>
    <xf borderId="0" fillId="2" fontId="1" numFmtId="0" xfId="0" applyAlignment="1" applyFont="1">
      <alignment horizontal="center" readingOrder="0" vertical="center"/>
    </xf>
    <xf borderId="0" fillId="2" fontId="1" numFmtId="167" xfId="0" applyAlignment="1" applyFont="1" applyNumberFormat="1">
      <alignment horizontal="center" vertical="center"/>
    </xf>
    <xf borderId="0" fillId="2" fontId="1" numFmtId="164" xfId="0" applyAlignment="1" applyFont="1" applyNumberFormat="1">
      <alignment horizontal="center" vertical="center"/>
    </xf>
    <xf borderId="0" fillId="2" fontId="1" numFmtId="0" xfId="0" applyAlignment="1" applyFont="1">
      <alignment horizontal="center" vertical="center"/>
    </xf>
    <xf borderId="0" fillId="2" fontId="1" numFmtId="2" xfId="0" applyAlignment="1" applyFont="1" applyNumberFormat="1">
      <alignment horizontal="center" vertical="center"/>
    </xf>
    <xf borderId="0" fillId="2" fontId="1" numFmtId="164" xfId="0" applyAlignment="1" applyFont="1" applyNumberFormat="1">
      <alignment horizontal="center" readingOrder="0" vertical="center"/>
    </xf>
    <xf borderId="0" fillId="2" fontId="1" numFmtId="10" xfId="0" applyAlignment="1" applyFont="1" applyNumberFormat="1">
      <alignment horizontal="center" vertical="center"/>
    </xf>
    <xf borderId="0" fillId="2" fontId="1" numFmtId="164" xfId="0" applyAlignment="1" applyFont="1" applyNumberFormat="1">
      <alignment horizontal="center" vertical="center"/>
    </xf>
    <xf borderId="0" fillId="0" fontId="5" numFmtId="0" xfId="0" applyFont="1"/>
    <xf borderId="0" fillId="0" fontId="5" numFmtId="164" xfId="0" applyFont="1" applyNumberFormat="1"/>
    <xf borderId="0" fillId="0" fontId="5" numFmtId="0" xfId="0" applyAlignment="1" applyFont="1">
      <alignment readingOrder="0"/>
    </xf>
    <xf borderId="0" fillId="0" fontId="5" numFmtId="166" xfId="0" applyAlignment="1" applyFont="1" applyNumberFormat="1">
      <alignment readingOrder="0"/>
    </xf>
    <xf borderId="0" fillId="0" fontId="5" numFmtId="10" xfId="0" applyFont="1" applyNumberFormat="1"/>
    <xf borderId="0" fillId="0" fontId="1" numFmtId="10" xfId="0" applyAlignment="1" applyFont="1" applyNumberFormat="1">
      <alignment readingOrder="0"/>
    </xf>
    <xf borderId="0" fillId="2" fontId="5" numFmtId="0" xfId="0" applyAlignment="1" applyFont="1">
      <alignment readingOrder="0"/>
    </xf>
    <xf borderId="8" fillId="0" fontId="5" numFmtId="0" xfId="0" applyBorder="1" applyFont="1"/>
    <xf borderId="8" fillId="2" fontId="5" numFmtId="0" xfId="0" applyAlignment="1" applyBorder="1" applyFont="1">
      <alignment readingOrder="0"/>
    </xf>
    <xf borderId="8" fillId="0" fontId="2" numFmtId="0" xfId="0" applyAlignment="1" applyBorder="1" applyFont="1">
      <alignment horizontal="center" readingOrder="0" shrinkToFit="0" wrapText="1"/>
    </xf>
    <xf borderId="8" fillId="0" fontId="2" numFmtId="0" xfId="0" applyAlignment="1" applyBorder="1" applyFont="1">
      <alignment horizontal="center" readingOrder="0"/>
    </xf>
    <xf borderId="8" fillId="0" fontId="5" numFmtId="0" xfId="0" applyAlignment="1" applyBorder="1" applyFont="1">
      <alignment readingOrder="0"/>
    </xf>
    <xf borderId="8" fillId="2" fontId="5" numFmtId="3" xfId="0" applyAlignment="1" applyBorder="1" applyFont="1" applyNumberFormat="1">
      <alignment readingOrder="0"/>
    </xf>
    <xf borderId="8" fillId="2" fontId="5" numFmtId="3" xfId="0" applyBorder="1" applyFont="1" applyNumberFormat="1"/>
    <xf borderId="8" fillId="0" fontId="1" numFmtId="0" xfId="0" applyAlignment="1" applyBorder="1" applyFont="1">
      <alignment horizontal="center" readingOrder="0"/>
    </xf>
    <xf borderId="8" fillId="0" fontId="5" numFmtId="0" xfId="0" applyAlignment="1" applyBorder="1" applyFont="1">
      <alignment horizontal="center" readingOrder="0"/>
    </xf>
    <xf borderId="8" fillId="0" fontId="5" numFmtId="3" xfId="0" applyBorder="1" applyFont="1" applyNumberFormat="1"/>
    <xf borderId="8" fillId="0" fontId="6" numFmtId="3" xfId="0" applyBorder="1" applyFont="1" applyNumberFormat="1"/>
    <xf borderId="0" fillId="0" fontId="2" numFmtId="0" xfId="0" applyAlignment="1" applyFont="1">
      <alignment readingOrder="0"/>
    </xf>
    <xf borderId="0" fillId="9" fontId="7" numFmtId="0" xfId="0" applyAlignment="1" applyFill="1" applyFont="1">
      <alignment horizontal="left" readingOrder="0"/>
    </xf>
    <xf borderId="0" fillId="0" fontId="5" numFmtId="0" xfId="0" applyAlignment="1" applyFont="1">
      <alignment shrinkToFit="0" wrapText="1"/>
    </xf>
    <xf borderId="0" fillId="9" fontId="8" numFmtId="0" xfId="0" applyAlignment="1" applyFont="1">
      <alignment horizontal="left" readingOrder="0" shrinkToFit="0" wrapText="1"/>
    </xf>
    <xf borderId="0" fillId="9" fontId="7" numFmtId="0" xfId="0" applyAlignment="1" applyFont="1">
      <alignment horizontal="left" shrinkToFit="0" wrapText="1"/>
    </xf>
    <xf borderId="0" fillId="9" fontId="7" numFmtId="0" xfId="0" applyAlignment="1" applyFont="1">
      <alignment horizontal="left" readingOrder="0" shrinkToFit="0" wrapText="1"/>
    </xf>
    <xf borderId="0" fillId="8" fontId="8" numFmtId="0" xfId="0" applyAlignment="1" applyFont="1">
      <alignment horizontal="left" readingOrder="0" shrinkToFit="0" wrapText="1"/>
    </xf>
    <xf borderId="0" fillId="8" fontId="9" numFmtId="0" xfId="0" applyAlignment="1" applyFont="1">
      <alignment horizontal="left" readingOrder="0" shrinkToFit="0" wrapText="1"/>
    </xf>
    <xf borderId="0" fillId="8" fontId="9" numFmtId="164" xfId="0" applyAlignment="1" applyFont="1" applyNumberFormat="1">
      <alignment horizontal="left" readingOrder="0" shrinkToFit="0" wrapText="1"/>
    </xf>
    <xf borderId="0" fillId="0" fontId="8" numFmtId="0" xfId="0" applyAlignment="1" applyFont="1">
      <alignment horizontal="left" readingOrder="0" shrinkToFit="0" wrapText="1"/>
    </xf>
    <xf borderId="0" fillId="0" fontId="9" numFmtId="0" xfId="0" applyAlignment="1" applyFont="1">
      <alignment horizontal="left" readingOrder="0" shrinkToFit="0" wrapText="1"/>
    </xf>
    <xf borderId="0" fillId="8" fontId="9" numFmtId="0" xfId="0" applyFont="1"/>
    <xf borderId="0" fillId="0" fontId="1" numFmtId="164" xfId="0" applyAlignment="1" applyFont="1" applyNumberFormat="1">
      <alignment horizontal="center" readingOrder="0"/>
    </xf>
    <xf borderId="9" fillId="2" fontId="2" numFmtId="0" xfId="0" applyAlignment="1" applyBorder="1" applyFont="1">
      <alignment horizontal="center" readingOrder="0" shrinkToFit="0" vertical="center" wrapText="1"/>
    </xf>
    <xf borderId="9" fillId="0" fontId="1" numFmtId="0" xfId="0" applyAlignment="1" applyBorder="1" applyFont="1">
      <alignment horizontal="left" readingOrder="0"/>
    </xf>
    <xf borderId="9" fillId="0" fontId="1" numFmtId="0" xfId="0" applyAlignment="1" applyBorder="1" applyFont="1">
      <alignment horizontal="center" readingOrder="0"/>
    </xf>
    <xf borderId="9" fillId="0" fontId="1" numFmtId="164" xfId="0" applyAlignment="1" applyBorder="1" applyFont="1" applyNumberFormat="1">
      <alignment horizontal="center" readingOrder="0"/>
    </xf>
    <xf borderId="9" fillId="0" fontId="1" numFmtId="165" xfId="0" applyAlignment="1" applyBorder="1" applyFont="1" applyNumberFormat="1">
      <alignment horizontal="center" readingOrder="0"/>
    </xf>
    <xf borderId="9" fillId="0" fontId="10" numFmtId="164" xfId="0" applyAlignment="1" applyBorder="1" applyFont="1" applyNumberFormat="1">
      <alignment horizontal="center"/>
    </xf>
    <xf borderId="9" fillId="0" fontId="1" numFmtId="0" xfId="0" applyAlignment="1" applyBorder="1" applyFont="1">
      <alignment horizontal="center"/>
    </xf>
    <xf borderId="9" fillId="0" fontId="1" numFmtId="166" xfId="0" applyAlignment="1" applyBorder="1" applyFont="1" applyNumberFormat="1">
      <alignment horizontal="center" readingOrder="0"/>
    </xf>
    <xf borderId="9" fillId="0" fontId="1" numFmtId="9" xfId="0" applyAlignment="1" applyBorder="1" applyFont="1" applyNumberFormat="1">
      <alignment horizontal="center" readingOrder="0"/>
    </xf>
    <xf borderId="9" fillId="0" fontId="1" numFmtId="0" xfId="0" applyAlignment="1" applyBorder="1" applyFont="1">
      <alignment horizontal="center" readingOrder="0"/>
    </xf>
    <xf borderId="9" fillId="0" fontId="1" numFmtId="164" xfId="0" applyAlignment="1" applyBorder="1" applyFont="1" applyNumberFormat="1">
      <alignment horizontal="center" readingOrder="0"/>
    </xf>
    <xf borderId="9" fillId="10" fontId="4" numFmtId="164" xfId="0" applyAlignment="1" applyBorder="1" applyFill="1" applyFont="1" applyNumberFormat="1">
      <alignment horizontal="center" vertical="bottom"/>
    </xf>
    <xf borderId="9" fillId="10" fontId="4" numFmtId="166" xfId="0" applyAlignment="1" applyBorder="1" applyFont="1" applyNumberFormat="1">
      <alignment horizontal="center" vertical="bottom"/>
    </xf>
    <xf borderId="9" fillId="10" fontId="4" numFmtId="168" xfId="0" applyAlignment="1" applyBorder="1" applyFont="1" applyNumberFormat="1">
      <alignment horizontal="center" vertical="bottom"/>
    </xf>
    <xf borderId="9" fillId="10" fontId="4" numFmtId="9" xfId="0" applyAlignment="1" applyBorder="1" applyFont="1" applyNumberFormat="1">
      <alignment horizontal="center" vertical="bottom"/>
    </xf>
    <xf borderId="9" fillId="0" fontId="1" numFmtId="0" xfId="0" applyAlignment="1" applyBorder="1" applyFont="1">
      <alignment horizontal="center" readingOrder="0" shrinkToFit="0" wrapText="1"/>
    </xf>
    <xf borderId="9" fillId="0" fontId="1" numFmtId="9" xfId="0" applyAlignment="1" applyBorder="1" applyFont="1" applyNumberFormat="1">
      <alignment horizontal="center" readingOrder="0" shrinkToFit="0" wrapText="1"/>
    </xf>
    <xf borderId="9" fillId="0" fontId="4" numFmtId="164" xfId="0" applyAlignment="1" applyBorder="1" applyFont="1" applyNumberFormat="1">
      <alignment horizontal="center" readingOrder="0"/>
    </xf>
    <xf borderId="9" fillId="0" fontId="2" numFmtId="0" xfId="0" applyAlignment="1" applyBorder="1" applyFont="1">
      <alignment horizontal="left" readingOrder="0"/>
    </xf>
    <xf borderId="9" fillId="0" fontId="5" numFmtId="0" xfId="0" applyAlignment="1" applyBorder="1" applyFont="1">
      <alignment horizontal="center"/>
    </xf>
    <xf borderId="9" fillId="0" fontId="10" numFmtId="0" xfId="0" applyAlignment="1" applyBorder="1" applyFont="1">
      <alignment horizontal="center"/>
    </xf>
    <xf borderId="9" fillId="0" fontId="5" numFmtId="0" xfId="0" applyAlignment="1" applyBorder="1" applyFont="1">
      <alignment horizontal="center"/>
    </xf>
    <xf borderId="9" fillId="0" fontId="2" numFmtId="166" xfId="0" applyAlignment="1" applyBorder="1" applyFont="1" applyNumberFormat="1">
      <alignment horizontal="center" readingOrder="0"/>
    </xf>
    <xf borderId="9" fillId="0" fontId="2" numFmtId="0" xfId="0" applyAlignment="1" applyBorder="1" applyFont="1">
      <alignment horizontal="center" readingOrder="0"/>
    </xf>
    <xf borderId="9" fillId="0" fontId="2" numFmtId="164" xfId="0" applyAlignment="1" applyBorder="1" applyFont="1" applyNumberFormat="1">
      <alignment horizontal="center" readingOrder="0"/>
    </xf>
    <xf borderId="9" fillId="0" fontId="11" numFmtId="168" xfId="0" applyAlignment="1" applyBorder="1" applyFont="1" applyNumberFormat="1">
      <alignment horizontal="center" vertical="bottom"/>
    </xf>
    <xf borderId="9" fillId="0" fontId="5" numFmtId="0" xfId="0" applyAlignment="1" applyBorder="1" applyFont="1">
      <alignment horizontal="center" shrinkToFit="0" wrapText="1"/>
    </xf>
    <xf borderId="0" fillId="0" fontId="5" numFmtId="9" xfId="0" applyFont="1" applyNumberFormat="1"/>
    <xf borderId="0" fillId="0" fontId="2" numFmtId="0" xfId="0" applyAlignment="1" applyFont="1">
      <alignment horizontal="right" readingOrder="0"/>
    </xf>
    <xf borderId="0" fillId="2" fontId="2" numFmtId="9" xfId="0" applyAlignment="1" applyFont="1" applyNumberFormat="1">
      <alignment horizontal="center" readingOrder="0"/>
    </xf>
    <xf borderId="0" fillId="0" fontId="12" numFmtId="0" xfId="0" applyAlignment="1" applyFont="1">
      <alignment horizontal="right" readingOrder="0"/>
    </xf>
    <xf borderId="0" fillId="0" fontId="12" numFmtId="9" xfId="0" applyAlignment="1" applyFont="1" applyNumberFormat="1">
      <alignment horizontal="right" readingOrder="0"/>
    </xf>
    <xf borderId="9" fillId="10" fontId="11" numFmtId="168" xfId="0" applyAlignment="1" applyBorder="1" applyFont="1" applyNumberFormat="1">
      <alignment horizontal="center" vertical="bottom"/>
    </xf>
    <xf borderId="0" fillId="0" fontId="13" numFmtId="0" xfId="0" applyAlignment="1" applyFont="1">
      <alignment readingOrder="0"/>
    </xf>
    <xf borderId="9" fillId="10" fontId="1" numFmtId="0" xfId="0" applyAlignment="1" applyBorder="1" applyFont="1">
      <alignment horizontal="left" readingOrder="0"/>
    </xf>
    <xf borderId="9" fillId="10" fontId="1" numFmtId="0" xfId="0" applyAlignment="1" applyBorder="1" applyFont="1">
      <alignment horizontal="center" readingOrder="0"/>
    </xf>
    <xf borderId="9" fillId="10" fontId="1" numFmtId="164" xfId="0" applyAlignment="1" applyBorder="1" applyFont="1" applyNumberFormat="1">
      <alignment horizontal="center" readingOrder="0"/>
    </xf>
    <xf borderId="9" fillId="10" fontId="1" numFmtId="165" xfId="0" applyAlignment="1" applyBorder="1" applyFont="1" applyNumberFormat="1">
      <alignment horizontal="center" readingOrder="0"/>
    </xf>
    <xf borderId="9" fillId="10" fontId="10" numFmtId="164" xfId="0" applyAlignment="1" applyBorder="1" applyFont="1" applyNumberFormat="1">
      <alignment horizontal="center"/>
    </xf>
    <xf borderId="9" fillId="10" fontId="1" numFmtId="0" xfId="0" applyAlignment="1" applyBorder="1" applyFont="1">
      <alignment horizontal="center"/>
    </xf>
    <xf borderId="9" fillId="10" fontId="1" numFmtId="166" xfId="0" applyAlignment="1" applyBorder="1" applyFont="1" applyNumberFormat="1">
      <alignment horizontal="center" readingOrder="0"/>
    </xf>
    <xf borderId="9" fillId="10" fontId="1" numFmtId="9" xfId="0" applyAlignment="1" applyBorder="1" applyFont="1" applyNumberFormat="1">
      <alignment horizontal="center" readingOrder="0"/>
    </xf>
    <xf borderId="9" fillId="10" fontId="1" numFmtId="0" xfId="0" applyAlignment="1" applyBorder="1" applyFont="1">
      <alignment horizontal="center" readingOrder="0"/>
    </xf>
    <xf borderId="9" fillId="10" fontId="4" numFmtId="164" xfId="0" applyAlignment="1" applyBorder="1" applyFont="1" applyNumberFormat="1">
      <alignment horizontal="center" vertical="bottom"/>
    </xf>
    <xf borderId="9" fillId="10" fontId="4" numFmtId="166" xfId="0" applyAlignment="1" applyBorder="1" applyFont="1" applyNumberFormat="1">
      <alignment horizontal="center" vertical="bottom"/>
    </xf>
    <xf borderId="9" fillId="10" fontId="4" numFmtId="168" xfId="0" applyAlignment="1" applyBorder="1" applyFont="1" applyNumberFormat="1">
      <alignment horizontal="center" vertical="bottom"/>
    </xf>
    <xf borderId="9" fillId="10" fontId="4" numFmtId="9" xfId="0" applyAlignment="1" applyBorder="1" applyFont="1" applyNumberFormat="1">
      <alignment horizontal="center" vertical="bottom"/>
    </xf>
    <xf borderId="9" fillId="10" fontId="1" numFmtId="0" xfId="0" applyAlignment="1" applyBorder="1" applyFont="1">
      <alignment horizontal="center" readingOrder="0" shrinkToFit="0" wrapText="1"/>
    </xf>
    <xf borderId="9" fillId="10" fontId="1" numFmtId="9" xfId="0" applyAlignment="1" applyBorder="1" applyFont="1" applyNumberFormat="1">
      <alignment horizontal="center" readingOrder="0" shrinkToFit="0" wrapText="1"/>
    </xf>
    <xf borderId="9" fillId="11" fontId="1" numFmtId="0" xfId="0" applyAlignment="1" applyBorder="1" applyFill="1" applyFont="1">
      <alignment horizontal="left" readingOrder="0"/>
    </xf>
    <xf borderId="9" fillId="11" fontId="1" numFmtId="0" xfId="0" applyAlignment="1" applyBorder="1" applyFont="1">
      <alignment horizontal="center" readingOrder="0"/>
    </xf>
    <xf borderId="9" fillId="11" fontId="1" numFmtId="164" xfId="0" applyAlignment="1" applyBorder="1" applyFont="1" applyNumberFormat="1">
      <alignment horizontal="center" readingOrder="0"/>
    </xf>
    <xf borderId="9" fillId="11" fontId="1" numFmtId="165" xfId="0" applyAlignment="1" applyBorder="1" applyFont="1" applyNumberFormat="1">
      <alignment horizontal="center" readingOrder="0"/>
    </xf>
    <xf borderId="9" fillId="11" fontId="10" numFmtId="164" xfId="0" applyAlignment="1" applyBorder="1" applyFont="1" applyNumberFormat="1">
      <alignment horizontal="center"/>
    </xf>
    <xf borderId="9" fillId="11" fontId="1" numFmtId="0" xfId="0" applyAlignment="1" applyBorder="1" applyFont="1">
      <alignment horizontal="center"/>
    </xf>
    <xf borderId="9" fillId="11" fontId="1" numFmtId="166" xfId="0" applyAlignment="1" applyBorder="1" applyFont="1" applyNumberFormat="1">
      <alignment horizontal="center" readingOrder="0"/>
    </xf>
    <xf borderId="9" fillId="11" fontId="1" numFmtId="9" xfId="0" applyAlignment="1" applyBorder="1" applyFont="1" applyNumberFormat="1">
      <alignment horizontal="center" readingOrder="0"/>
    </xf>
    <xf borderId="9" fillId="11" fontId="1" numFmtId="0" xfId="0" applyAlignment="1" applyBorder="1" applyFont="1">
      <alignment horizontal="center" readingOrder="0"/>
    </xf>
    <xf borderId="9" fillId="11" fontId="4" numFmtId="164" xfId="0" applyAlignment="1" applyBorder="1" applyFont="1" applyNumberFormat="1">
      <alignment horizontal="center" vertical="bottom"/>
    </xf>
    <xf borderId="9" fillId="11" fontId="4" numFmtId="166" xfId="0" applyAlignment="1" applyBorder="1" applyFont="1" applyNumberFormat="1">
      <alignment horizontal="center" vertical="bottom"/>
    </xf>
    <xf borderId="9" fillId="11" fontId="4" numFmtId="168" xfId="0" applyAlignment="1" applyBorder="1" applyFont="1" applyNumberFormat="1">
      <alignment horizontal="center" vertical="bottom"/>
    </xf>
    <xf borderId="9" fillId="11" fontId="4" numFmtId="9" xfId="0" applyAlignment="1" applyBorder="1" applyFont="1" applyNumberFormat="1">
      <alignment horizontal="center" vertical="bottom"/>
    </xf>
    <xf borderId="9" fillId="11" fontId="1" numFmtId="0" xfId="0" applyAlignment="1" applyBorder="1" applyFont="1">
      <alignment horizontal="center" readingOrder="0" shrinkToFit="0" wrapText="1"/>
    </xf>
    <xf borderId="9" fillId="11" fontId="1" numFmtId="9" xfId="0" applyAlignment="1" applyBorder="1" applyFont="1" applyNumberFormat="1">
      <alignment horizontal="center" readingOrder="0" shrinkToFit="0" wrapText="1"/>
    </xf>
    <xf borderId="9" fillId="0" fontId="1" numFmtId="0" xfId="0" applyAlignment="1" applyBorder="1" applyFont="1">
      <alignment horizontal="center" readingOrder="0"/>
    </xf>
    <xf borderId="9" fillId="2" fontId="1" numFmtId="0" xfId="0" applyAlignment="1" applyBorder="1" applyFont="1">
      <alignment horizontal="left" readingOrder="0"/>
    </xf>
    <xf borderId="9" fillId="10" fontId="5" numFmtId="0" xfId="0" applyAlignment="1" applyBorder="1" applyFont="1">
      <alignment horizontal="center" shrinkToFit="0" wrapText="1"/>
    </xf>
    <xf borderId="9" fillId="12" fontId="1" numFmtId="0" xfId="0" applyAlignment="1" applyBorder="1" applyFill="1" applyFont="1">
      <alignment horizontal="left" readingOrder="0"/>
    </xf>
    <xf borderId="9" fillId="11" fontId="1" numFmtId="164" xfId="0" applyAlignment="1" applyBorder="1" applyFont="1" applyNumberFormat="1">
      <alignment horizontal="center" readingOrder="0"/>
    </xf>
    <xf borderId="9" fillId="11" fontId="4" numFmtId="164" xfId="0" applyAlignment="1" applyBorder="1" applyFont="1" applyNumberFormat="1">
      <alignment horizontal="center" readingOrder="0"/>
    </xf>
    <xf borderId="9" fillId="11" fontId="5" numFmtId="0" xfId="0" applyAlignment="1" applyBorder="1" applyFont="1">
      <alignment horizontal="center" shrinkToFit="0" wrapText="1"/>
    </xf>
    <xf borderId="9" fillId="10" fontId="1" numFmtId="164" xfId="0" applyAlignment="1" applyBorder="1" applyFont="1" applyNumberFormat="1">
      <alignment horizontal="center" readingOrder="0"/>
    </xf>
    <xf borderId="9" fillId="10" fontId="4" numFmtId="164" xfId="0" applyAlignment="1" applyBorder="1" applyFont="1" applyNumberFormat="1">
      <alignment horizontal="center" readingOrder="0"/>
    </xf>
    <xf borderId="9" fillId="10" fontId="4" numFmtId="0" xfId="0" applyAlignment="1" applyBorder="1" applyFont="1">
      <alignment horizontal="center" vertical="bottom"/>
    </xf>
    <xf borderId="9" fillId="11" fontId="4" numFmtId="0" xfId="0" applyAlignment="1" applyBorder="1" applyFont="1">
      <alignment horizontal="center" vertical="bottom"/>
    </xf>
    <xf borderId="9" fillId="10" fontId="2" numFmtId="0" xfId="0" applyAlignment="1" applyBorder="1" applyFont="1">
      <alignment horizontal="left" readingOrder="0"/>
    </xf>
    <xf borderId="9" fillId="10" fontId="10" numFmtId="0" xfId="0" applyAlignment="1" applyBorder="1" applyFont="1">
      <alignment horizontal="center"/>
    </xf>
    <xf borderId="9" fillId="10" fontId="2" numFmtId="164" xfId="0" applyAlignment="1" applyBorder="1" applyFont="1" applyNumberFormat="1">
      <alignment horizontal="center" readingOrder="0"/>
    </xf>
    <xf borderId="9" fillId="10" fontId="2" numFmtId="166" xfId="0" applyAlignment="1" applyBorder="1" applyFont="1" applyNumberFormat="1">
      <alignment horizontal="center" readingOrder="0"/>
    </xf>
    <xf borderId="9" fillId="10" fontId="11" numFmtId="168" xfId="0" applyAlignment="1" applyBorder="1" applyFont="1" applyNumberFormat="1">
      <alignment horizontal="center" vertical="bottom"/>
    </xf>
    <xf borderId="0" fillId="0" fontId="5" numFmtId="0" xfId="0" applyAlignment="1" applyFont="1">
      <alignment horizontal="center"/>
    </xf>
    <xf borderId="9" fillId="13" fontId="1" numFmtId="0" xfId="0" applyAlignment="1" applyBorder="1" applyFill="1" applyFont="1">
      <alignment horizontal="left" readingOrder="0"/>
    </xf>
    <xf borderId="9" fillId="14" fontId="1" numFmtId="0" xfId="0" applyAlignment="1" applyBorder="1" applyFill="1" applyFont="1">
      <alignment horizontal="left" readingOrder="0"/>
    </xf>
    <xf borderId="9" fillId="0" fontId="1" numFmtId="164" xfId="0" applyAlignment="1" applyBorder="1" applyFont="1" applyNumberFormat="1">
      <alignment horizontal="center" readingOrder="0"/>
    </xf>
    <xf borderId="9" fillId="15" fontId="1" numFmtId="0" xfId="0" applyAlignment="1" applyBorder="1" applyFill="1" applyFont="1">
      <alignment horizontal="left" readingOrder="0"/>
    </xf>
    <xf borderId="9" fillId="12" fontId="1" numFmtId="0" xfId="0" applyAlignment="1" applyBorder="1" applyFont="1">
      <alignment horizontal="center" readingOrder="0"/>
    </xf>
    <xf borderId="9" fillId="12" fontId="1" numFmtId="164" xfId="0" applyAlignment="1" applyBorder="1" applyFont="1" applyNumberFormat="1">
      <alignment horizontal="center" readingOrder="0"/>
    </xf>
    <xf borderId="9" fillId="12" fontId="1" numFmtId="165" xfId="0" applyAlignment="1" applyBorder="1" applyFont="1" applyNumberFormat="1">
      <alignment horizontal="center" readingOrder="0"/>
    </xf>
    <xf borderId="9" fillId="12" fontId="1" numFmtId="164" xfId="0" applyAlignment="1" applyBorder="1" applyFont="1" applyNumberFormat="1">
      <alignment horizontal="center" readingOrder="0"/>
    </xf>
    <xf borderId="9" fillId="12" fontId="4" numFmtId="164" xfId="0" applyAlignment="1" applyBorder="1" applyFont="1" applyNumberFormat="1">
      <alignment horizontal="center" readingOrder="0"/>
    </xf>
    <xf borderId="9" fillId="12" fontId="1" numFmtId="166" xfId="0" applyAlignment="1" applyBorder="1" applyFont="1" applyNumberFormat="1">
      <alignment horizontal="center" readingOrder="0"/>
    </xf>
    <xf borderId="9" fillId="12" fontId="1" numFmtId="9" xfId="0" applyAlignment="1" applyBorder="1" applyFont="1" applyNumberFormat="1">
      <alignment horizontal="center" readingOrder="0"/>
    </xf>
    <xf borderId="9" fillId="12" fontId="1" numFmtId="0" xfId="0" applyAlignment="1" applyBorder="1" applyFont="1">
      <alignment horizontal="center" readingOrder="0"/>
    </xf>
    <xf borderId="9" fillId="12" fontId="4" numFmtId="164" xfId="0" applyAlignment="1" applyBorder="1" applyFont="1" applyNumberFormat="1">
      <alignment horizontal="center" vertical="bottom"/>
    </xf>
    <xf borderId="9" fillId="12" fontId="4" numFmtId="166" xfId="0" applyAlignment="1" applyBorder="1" applyFont="1" applyNumberFormat="1">
      <alignment horizontal="center" vertical="bottom"/>
    </xf>
    <xf borderId="9" fillId="12" fontId="4" numFmtId="168" xfId="0" applyAlignment="1" applyBorder="1" applyFont="1" applyNumberFormat="1">
      <alignment horizontal="center" vertical="bottom"/>
    </xf>
    <xf borderId="9" fillId="12" fontId="4" numFmtId="9" xfId="0" applyAlignment="1" applyBorder="1" applyFont="1" applyNumberFormat="1">
      <alignment horizontal="center" vertical="bottom"/>
    </xf>
    <xf borderId="9" fillId="12" fontId="1" numFmtId="0" xfId="0" applyAlignment="1" applyBorder="1" applyFont="1">
      <alignment horizontal="center" readingOrder="0" shrinkToFit="0" wrapText="1"/>
    </xf>
    <xf borderId="9" fillId="12" fontId="1" numFmtId="9" xfId="0" applyAlignment="1" applyBorder="1" applyFont="1" applyNumberFormat="1">
      <alignment horizontal="center" readingOrder="0" shrinkToFit="0" wrapText="1"/>
    </xf>
    <xf borderId="9" fillId="0" fontId="1" numFmtId="0" xfId="0" applyAlignment="1" applyBorder="1" applyFont="1">
      <alignment horizontal="left" readingOrder="0"/>
    </xf>
    <xf borderId="10" fillId="7" fontId="2" numFmtId="0" xfId="0" applyAlignment="1" applyBorder="1" applyFont="1">
      <alignment horizontal="center" shrinkToFit="0" wrapText="1"/>
    </xf>
    <xf borderId="11" fillId="7" fontId="2" numFmtId="0" xfId="0" applyAlignment="1" applyBorder="1" applyFont="1">
      <alignment horizontal="center" readingOrder="0"/>
    </xf>
    <xf borderId="7" fillId="0" fontId="1" numFmtId="0" xfId="0" applyAlignment="1" applyBorder="1" applyFont="1">
      <alignment horizontal="left"/>
    </xf>
    <xf borderId="12" fillId="0" fontId="1" numFmtId="164" xfId="0" applyAlignment="1" applyBorder="1" applyFont="1" applyNumberFormat="1">
      <alignment horizontal="center" readingOrder="0"/>
    </xf>
    <xf borderId="0" fillId="0" fontId="5" numFmtId="0" xfId="0" applyAlignment="1" applyFont="1">
      <alignment horizontal="center" readingOrder="0"/>
    </xf>
    <xf borderId="0" fillId="0" fontId="5" numFmtId="169" xfId="0" applyAlignment="1" applyFont="1" applyNumberFormat="1">
      <alignment horizontal="center"/>
    </xf>
    <xf borderId="8" fillId="0" fontId="1" numFmtId="0" xfId="0" applyAlignment="1" applyBorder="1" applyFont="1">
      <alignment horizontal="left"/>
    </xf>
    <xf borderId="11" fillId="0" fontId="1" numFmtId="164" xfId="0" applyAlignment="1" applyBorder="1" applyFont="1" applyNumberFormat="1">
      <alignment horizontal="center" readingOrder="0"/>
    </xf>
    <xf borderId="0" fillId="0" fontId="5" numFmtId="164" xfId="0" applyAlignment="1" applyFont="1" applyNumberFormat="1">
      <alignment horizontal="center" readingOrder="0"/>
    </xf>
    <xf borderId="8" fillId="0" fontId="1" numFmtId="0" xfId="0" applyAlignment="1" applyBorder="1" applyFont="1">
      <alignment horizontal="left" vertical="bottom"/>
    </xf>
    <xf borderId="0" fillId="0" fontId="5" numFmtId="164" xfId="0" applyFont="1" applyNumberFormat="1"/>
    <xf borderId="0" fillId="0" fontId="1" numFmtId="0" xfId="0" applyAlignment="1" applyFont="1">
      <alignment readingOrder="0" shrinkToFit="0" wrapText="0"/>
    </xf>
    <xf borderId="0" fillId="0" fontId="1" numFmtId="168" xfId="0" applyAlignment="1" applyFont="1" applyNumberFormat="1">
      <alignment horizontal="center" readingOrder="0"/>
    </xf>
    <xf borderId="0" fillId="0" fontId="1" numFmtId="0" xfId="0" applyAlignment="1" applyFont="1">
      <alignment horizontal="center" readingOrder="0"/>
    </xf>
    <xf borderId="9" fillId="0" fontId="11" numFmtId="164" xfId="0" applyAlignment="1" applyBorder="1" applyFont="1" applyNumberFormat="1">
      <alignment horizontal="center" readingOrder="0"/>
    </xf>
    <xf borderId="0" fillId="0" fontId="1" numFmtId="164" xfId="0" applyAlignment="1" applyFont="1" applyNumberFormat="1">
      <alignment readingOrder="0"/>
    </xf>
    <xf borderId="0" fillId="0" fontId="10" numFmtId="0" xfId="0" applyFont="1"/>
    <xf borderId="0" fillId="0" fontId="10" numFmtId="0" xfId="0" applyAlignment="1" applyFont="1">
      <alignment horizontal="left"/>
    </xf>
    <xf borderId="0" fillId="0" fontId="10" numFmtId="168" xfId="0" applyFont="1" applyNumberFormat="1"/>
    <xf borderId="0" fillId="0" fontId="5" numFmtId="0" xfId="0" applyFont="1"/>
    <xf quotePrefix="1" borderId="0" fillId="0" fontId="10" numFmtId="0" xfId="0" applyFont="1"/>
    <xf borderId="8" fillId="2" fontId="14" numFmtId="0" xfId="0" applyAlignment="1" applyBorder="1" applyFont="1">
      <alignment shrinkToFit="0" wrapText="1"/>
    </xf>
    <xf borderId="8" fillId="2" fontId="6" numFmtId="0" xfId="0" applyAlignment="1" applyBorder="1" applyFont="1">
      <alignment shrinkToFit="0" wrapText="1"/>
    </xf>
    <xf borderId="8" fillId="0" fontId="10" numFmtId="0" xfId="0" applyAlignment="1" applyBorder="1" applyFont="1">
      <alignment horizontal="left" shrinkToFit="0" wrapText="1"/>
    </xf>
    <xf borderId="8" fillId="16" fontId="10" numFmtId="0" xfId="0" applyAlignment="1" applyBorder="1" applyFill="1" applyFont="1">
      <alignment shrinkToFit="0" wrapText="1"/>
    </xf>
    <xf borderId="8" fillId="0" fontId="10" numFmtId="0" xfId="0" applyAlignment="1" applyBorder="1" applyFont="1">
      <alignment shrinkToFit="0" wrapText="1"/>
    </xf>
    <xf borderId="8" fillId="17" fontId="10" numFmtId="0" xfId="0" applyAlignment="1" applyBorder="1" applyFill="1" applyFont="1">
      <alignment shrinkToFit="0" wrapText="1"/>
    </xf>
    <xf borderId="8" fillId="0" fontId="14" numFmtId="0" xfId="0" applyAlignment="1" applyBorder="1" applyFont="1">
      <alignment horizontal="left" shrinkToFit="0" wrapText="1"/>
    </xf>
    <xf borderId="8" fillId="0" fontId="14" numFmtId="0" xfId="0" applyAlignment="1" applyBorder="1" applyFont="1">
      <alignment shrinkToFit="0" wrapText="1"/>
    </xf>
    <xf borderId="0" fillId="0" fontId="12" numFmtId="10" xfId="0" applyAlignment="1" applyFont="1" applyNumberFormat="1">
      <alignment horizontal="right" readingOrder="0"/>
    </xf>
    <xf borderId="11" fillId="0" fontId="5" numFmtId="0" xfId="0" applyBorder="1" applyFont="1"/>
    <xf borderId="11" fillId="0" fontId="1" numFmtId="0" xfId="0" applyAlignment="1" applyBorder="1" applyFont="1">
      <alignment readingOrder="0"/>
    </xf>
    <xf borderId="11" fillId="0" fontId="1" numFmtId="0" xfId="0" applyAlignment="1" applyBorder="1" applyFont="1">
      <alignment horizontal="center" readingOrder="0"/>
    </xf>
    <xf borderId="11" fillId="0" fontId="1" numFmtId="0" xfId="0" applyAlignment="1" applyBorder="1" applyFont="1">
      <alignment horizontal="left" readingOrder="0"/>
    </xf>
    <xf borderId="11" fillId="0" fontId="1" numFmtId="0" xfId="0" applyAlignment="1" applyBorder="1" applyFont="1">
      <alignment horizontal="center" readingOrder="0"/>
    </xf>
    <xf borderId="11" fillId="0" fontId="5" numFmtId="0" xfId="0" applyAlignment="1" applyBorder="1" applyFont="1">
      <alignment horizontal="center"/>
    </xf>
    <xf borderId="0" fillId="0" fontId="5" numFmtId="165" xfId="0" applyAlignment="1" applyFont="1" applyNumberFormat="1">
      <alignment horizontal="center"/>
    </xf>
    <xf borderId="0" fillId="0" fontId="1" numFmtId="165" xfId="0" applyAlignment="1" applyFont="1" applyNumberFormat="1">
      <alignment horizontal="center" readingOrder="0"/>
    </xf>
    <xf borderId="0" fillId="0" fontId="5" numFmtId="164" xfId="0" applyAlignment="1" applyFont="1" applyNumberFormat="1">
      <alignment horizontal="center"/>
    </xf>
  </cellXfs>
  <cellStyles count="1">
    <cellStyle xfId="0" name="Normal" builtinId="0"/>
  </cellStyles>
  <dxfs count="5">
    <dxf>
      <font/>
      <fill>
        <patternFill patternType="solid">
          <fgColor rgb="FFF4CCCC"/>
          <bgColor rgb="FFF4CCCC"/>
        </patternFill>
      </fill>
      <border/>
    </dxf>
    <dxf>
      <font/>
      <fill>
        <patternFill patternType="none"/>
      </fill>
      <border/>
    </dxf>
    <dxf>
      <font/>
      <fill>
        <patternFill patternType="solid">
          <fgColor rgb="FFC1E4F5"/>
          <bgColor rgb="FFC1E4F5"/>
        </patternFill>
      </fill>
      <border/>
    </dxf>
    <dxf>
      <font/>
      <fill>
        <patternFill patternType="solid">
          <fgColor rgb="FF83CAEB"/>
          <bgColor rgb="FF83CAEB"/>
        </patternFill>
      </fill>
      <border/>
    </dxf>
    <dxf>
      <font/>
      <fill>
        <patternFill patternType="solid">
          <fgColor theme="4"/>
          <bgColor theme="4"/>
        </patternFill>
      </fill>
      <border/>
    </dxf>
  </dxfs>
  <tableStyles count="39">
    <tableStyle count="2" pivot="0" name="Amazon Unit Economics Model - V-style">
      <tableStyleElement dxfId="2" type="firstRowStripe"/>
      <tableStyleElement dxfId="3" type="secondRowStripe"/>
    </tableStyle>
    <tableStyle count="2" pivot="0" name="Amazon Unit Economics Model - V-style 2">
      <tableStyleElement dxfId="2" type="firstRowStripe"/>
      <tableStyleElement dxfId="3" type="secondRowStripe"/>
    </tableStyle>
    <tableStyle count="2" pivot="0" name="Amazon Unit Economics Model - V-style 3">
      <tableStyleElement dxfId="2" type="firstRowStripe"/>
      <tableStyleElement dxfId="3" type="secondRowStripe"/>
    </tableStyle>
    <tableStyle count="2" pivot="0" name="Amazon Unit Economics Model - V-style 4">
      <tableStyleElement dxfId="2" type="firstRowStripe"/>
      <tableStyleElement dxfId="3" type="secondRowStripe"/>
    </tableStyle>
    <tableStyle count="2" pivot="0" name="Amazon Unit Economics Model - V-style 5">
      <tableStyleElement dxfId="2" type="firstRowStripe"/>
      <tableStyleElement dxfId="3" type="secondRowStripe"/>
    </tableStyle>
    <tableStyle count="2" pivot="0" name="Amazon Unit Economics Model - V-style 6">
      <tableStyleElement dxfId="2" type="firstRowStripe"/>
      <tableStyleElement dxfId="3" type="secondRowStripe"/>
    </tableStyle>
    <tableStyle count="2" pivot="0" name="Amazon Unit Economics Model - V-style 7">
      <tableStyleElement dxfId="2" type="firstRowStripe"/>
      <tableStyleElement dxfId="3" type="secondRowStripe"/>
    </tableStyle>
    <tableStyle count="2" pivot="0" name="Amazon Unit Economics Model - V-style 8">
      <tableStyleElement dxfId="2" type="firstRowStripe"/>
      <tableStyleElement dxfId="3" type="secondRowStripe"/>
    </tableStyle>
    <tableStyle count="2" pivot="0" name="Amazon Unit Economics Model - V-style 9">
      <tableStyleElement dxfId="2" type="firstRowStripe"/>
      <tableStyleElement dxfId="3" type="secondRowStripe"/>
    </tableStyle>
    <tableStyle count="2" pivot="0" name="Amazon Unit Economics Model - V-style 10">
      <tableStyleElement dxfId="2" type="firstRowStripe"/>
      <tableStyleElement dxfId="3" type="secondRowStripe"/>
    </tableStyle>
    <tableStyle count="2" pivot="0" name="Amazon Unit Economics Model - V-style 11">
      <tableStyleElement dxfId="2" type="firstRowStripe"/>
      <tableStyleElement dxfId="3" type="secondRowStripe"/>
    </tableStyle>
    <tableStyle count="2" pivot="0" name="Amazon Unit Economics Model @15-style">
      <tableStyleElement dxfId="2" type="firstRowStripe"/>
      <tableStyleElement dxfId="3" type="secondRowStripe"/>
    </tableStyle>
    <tableStyle count="2" pivot="0" name="Amazon Unit Economics Model @15-style 2">
      <tableStyleElement dxfId="2" type="firstRowStripe"/>
      <tableStyleElement dxfId="3" type="secondRowStripe"/>
    </tableStyle>
    <tableStyle count="2" pivot="0" name="Amazon Unit Economics Model @15-style 3">
      <tableStyleElement dxfId="2" type="firstRowStripe"/>
      <tableStyleElement dxfId="3" type="secondRowStripe"/>
    </tableStyle>
    <tableStyle count="2" pivot="0" name="Amazon Unit Economics Model @15-style 4">
      <tableStyleElement dxfId="2" type="firstRowStripe"/>
      <tableStyleElement dxfId="3" type="secondRowStripe"/>
    </tableStyle>
    <tableStyle count="2" pivot="0" name="Amazon Unit Economics Model @15-style 5">
      <tableStyleElement dxfId="2" type="firstRowStripe"/>
      <tableStyleElement dxfId="3" type="secondRowStripe"/>
    </tableStyle>
    <tableStyle count="2" pivot="0" name="Factory cost targets @15% tarif-style">
      <tableStyleElement dxfId="2" type="firstRowStripe"/>
      <tableStyleElement dxfId="3" type="secondRowStripe"/>
    </tableStyle>
    <tableStyle count="2" pivot="0" name="Factory cost targets @15% tarif-style 2">
      <tableStyleElement dxfId="2" type="firstRowStripe"/>
      <tableStyleElement dxfId="3" type="secondRowStripe"/>
    </tableStyle>
    <tableStyle count="2" pivot="0" name="Factory cost targets @15% tarif-style 3">
      <tableStyleElement dxfId="2" type="firstRowStripe"/>
      <tableStyleElement dxfId="3" type="secondRowStripe"/>
    </tableStyle>
    <tableStyle count="2" pivot="0" name="Factory cost targets @15% tarif-style 4">
      <tableStyleElement dxfId="2" type="firstRowStripe"/>
      <tableStyleElement dxfId="3" type="secondRowStripe"/>
    </tableStyle>
    <tableStyle count="2" pivot="0" name="Factory cost targets @15% tarif-style 5">
      <tableStyleElement dxfId="2" type="firstRowStripe"/>
      <tableStyleElement dxfId="3" type="secondRowStripe"/>
    </tableStyle>
    <tableStyle count="2" pivot="0" name="Factory cost targets @15% tarif-style 6">
      <tableStyleElement dxfId="2" type="firstRowStripe"/>
      <tableStyleElement dxfId="3" type="secondRowStripe"/>
    </tableStyle>
    <tableStyle count="2" pivot="0" name="Factory cost targets @15% tarif-style 7">
      <tableStyleElement dxfId="2" type="firstRowStripe"/>
      <tableStyleElement dxfId="3" type="secondRowStripe"/>
    </tableStyle>
    <tableStyle count="2" pivot="0" name="Factory cost targets @15% tarif-style 8">
      <tableStyleElement dxfId="2" type="firstRowStripe"/>
      <tableStyleElement dxfId="3" type="secondRowStripe"/>
    </tableStyle>
    <tableStyle count="2" pivot="0" name="Factory cost targets @15% tarif-style 9">
      <tableStyleElement dxfId="2" type="firstRowStripe"/>
      <tableStyleElement dxfId="3" type="secondRowStripe"/>
    </tableStyle>
    <tableStyle count="2" pivot="0" name="Factory cost targets @15% tarif-style 10">
      <tableStyleElement dxfId="2" type="firstRowStripe"/>
      <tableStyleElement dxfId="3" type="secondRowStripe"/>
    </tableStyle>
    <tableStyle count="2" pivot="0" name="Factory cost targets @15% tarif-style 11">
      <tableStyleElement dxfId="2" type="firstRowStripe"/>
      <tableStyleElement dxfId="3" type="secondRowStripe"/>
    </tableStyle>
    <tableStyle count="2" pivot="0" name="Factory cost targets @15% tarif-style 12">
      <tableStyleElement dxfId="2" type="firstRowStripe"/>
      <tableStyleElement dxfId="3" type="secondRowStripe"/>
    </tableStyle>
    <tableStyle count="2" pivot="0" name="Factory cost targets @15% tarif-style 13">
      <tableStyleElement dxfId="2" type="firstRowStripe"/>
      <tableStyleElement dxfId="3" type="secondRowStripe"/>
    </tableStyle>
    <tableStyle count="2" pivot="0" name="New Products Pricing -style">
      <tableStyleElement dxfId="2" type="firstRowStripe"/>
      <tableStyleElement dxfId="3" type="secondRowStripe"/>
    </tableStyle>
    <tableStyle count="2" pivot="0" name="New Products Pricing -style 2">
      <tableStyleElement dxfId="2" type="firstRowStripe"/>
      <tableStyleElement dxfId="3" type="secondRowStripe"/>
    </tableStyle>
    <tableStyle count="2" pivot="0" name="New Products Pricing -style 3">
      <tableStyleElement dxfId="2" type="firstRowStripe"/>
      <tableStyleElement dxfId="3" type="secondRowStripe"/>
    </tableStyle>
    <tableStyle count="2" pivot="0" name="New Products Pricing -style 4">
      <tableStyleElement dxfId="2" type="firstRowStripe"/>
      <tableStyleElement dxfId="3" type="secondRowStripe"/>
    </tableStyle>
    <tableStyle count="2" pivot="0" name="New Products Pricing -style 5">
      <tableStyleElement dxfId="2" type="firstRowStripe"/>
      <tableStyleElement dxfId="3" type="secondRowStripe"/>
    </tableStyle>
    <tableStyle count="2" pivot="0" name="New Products Pricing -style 6">
      <tableStyleElement dxfId="2" type="firstRowStripe"/>
      <tableStyleElement dxfId="3" type="secondRowStripe"/>
    </tableStyle>
    <tableStyle count="3" pivot="0" name="2025Sep1-2025Sep30CustomUnified-style">
      <tableStyleElement dxfId="4" type="headerRow"/>
      <tableStyleElement dxfId="2" type="firstRowStripe"/>
      <tableStyleElement dxfId="3" type="secondRowStripe"/>
    </tableStyle>
    <tableStyle count="2" pivot="0" name="VVI data-style">
      <tableStyleElement dxfId="2" type="firstRowStripe"/>
      <tableStyleElement dxfId="3" type="secondRowStripe"/>
    </tableStyle>
    <tableStyle count="2" pivot="0" name="VVI data-style 2">
      <tableStyleElement dxfId="2" type="firstRowStripe"/>
      <tableStyleElement dxfId="3" type="secondRowStripe"/>
    </tableStyle>
    <tableStyle count="2" pivot="0" name="VVI data-style 3">
      <tableStyleElement dxfId="2" type="firstRowStripe"/>
      <tableStyleElement dxfId="3" type="secondRowStripe"/>
    </tableStyle>
  </tableStyles>
</styleSheet>
</file>

<file path=xl/_rels/workbook.xml.rels><?xml version="1.0" encoding="UTF-8" standalone="yes"?><Relationships xmlns="http://schemas.openxmlformats.org/package/2006/relationships"><Relationship Id="rId11" Type="http://schemas.openxmlformats.org/officeDocument/2006/relationships/worksheet" Target="worksheets/sheet7.xml"/><Relationship Id="rId10" Type="http://schemas.openxmlformats.org/officeDocument/2006/relationships/worksheet" Target="worksheets/sheet6.xml"/><Relationship Id="rId13" Type="http://schemas.openxmlformats.org/officeDocument/2006/relationships/worksheet" Target="worksheets/sheet9.xml"/><Relationship Id="rId12" Type="http://schemas.openxmlformats.org/officeDocument/2006/relationships/worksheet" Target="worksheets/sheet8.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15" Type="http://schemas.openxmlformats.org/officeDocument/2006/relationships/worksheet" Target="worksheets/sheet11.xml"/><Relationship Id="rId14" Type="http://schemas.openxmlformats.org/officeDocument/2006/relationships/worksheet" Target="worksheets/sheet10.xml"/><Relationship Id="rId17" Type="http://schemas.openxmlformats.org/officeDocument/2006/relationships/worksheet" Target="worksheets/sheet13.xml"/><Relationship Id="rId16" Type="http://schemas.openxmlformats.org/officeDocument/2006/relationships/worksheet" Target="worksheets/sheet12.xml"/><Relationship Id="rId5" Type="http://schemas.openxmlformats.org/officeDocument/2006/relationships/worksheet" Target="worksheets/sheet1.xml"/><Relationship Id="rId19" Type="http://schemas.openxmlformats.org/officeDocument/2006/relationships/worksheet" Target="worksheets/sheet15.xml"/><Relationship Id="rId6" Type="http://schemas.openxmlformats.org/officeDocument/2006/relationships/worksheet" Target="worksheets/sheet2.xml"/><Relationship Id="rId18" Type="http://schemas.openxmlformats.org/officeDocument/2006/relationships/worksheet" Target="worksheets/sheet14.xml"/><Relationship Id="rId7" Type="http://schemas.openxmlformats.org/officeDocument/2006/relationships/worksheet" Target="worksheets/sheet3.xml"/><Relationship Id="rId8" Type="http://schemas.openxmlformats.org/officeDocument/2006/relationships/worksheet" Target="worksheets/sheet4.xml"/></Relationships>
</file>

<file path=xl/documenttasks/documenttask1.xml><?xml version="1.0" encoding="utf-8"?>
<Tasks xmlns="http://schemas.microsoft.com/office/tasks/2019/documenttasks"/>
</file>

<file path=xl/drawings/_rels/drawing4.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xdr:col>
      <xdr:colOff>295275</xdr:colOff>
      <xdr:row>33</xdr:row>
      <xdr:rowOff>123825</xdr:rowOff>
    </xdr:from>
    <xdr:ext cx="6124575" cy="962025"/>
    <xdr:pic>
      <xdr:nvPicPr>
        <xdr:cNvPr id="0" name="image1.png" title="Image"/>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x18tc:person displayName="Jay Trivedi" id="{e135573b-ba9c-4047-831b-74046300a87d}" providerId="google-sheets"/>
</x18tc:personList>
</file>

<file path=xl/tables/table1.xml><?xml version="1.0" encoding="utf-8"?>
<table xmlns="http://schemas.openxmlformats.org/spreadsheetml/2006/main" headerRowCount="0" ref="B5:B11" displayName="Table_1" name="Table_1" id="1">
  <tableColumns count="1">
    <tableColumn name="Column1" id="1"/>
  </tableColumns>
  <tableStyleInfo name="Amazon Unit Economics Model - V-style" showColumnStripes="0" showFirstColumn="1" showLastColumn="1" showRowStripes="1"/>
</table>
</file>

<file path=xl/tables/table2.xml><?xml version="1.0" encoding="utf-8"?>
<table xmlns="http://schemas.openxmlformats.org/spreadsheetml/2006/main" headerRowCount="0" ref="C5:C10" displayName="Table_2" name="Table_2" id="2">
  <tableColumns count="1">
    <tableColumn name="Column1" id="1"/>
  </tableColumns>
  <tableStyleInfo name="Amazon Unit Economics Model - V-style 2" showColumnStripes="0" showFirstColumn="1" showLastColumn="1" showRowStripes="1"/>
</table>
</file>

<file path=xl/tables/table3.xml><?xml version="1.0" encoding="utf-8"?>
<table xmlns="http://schemas.openxmlformats.org/spreadsheetml/2006/main" headerRowCount="0" ref="D5:D10" displayName="Table_3" name="Table_3" id="3">
  <tableColumns count="1">
    <tableColumn name="Column1" id="1"/>
  </tableColumns>
  <tableStyleInfo name="Amazon Unit Economics Model - V-style 3" showColumnStripes="0" showFirstColumn="1" showLastColumn="1" showRowStripes="1"/>
</table>
</file>

<file path=xl/tables/table4.xml><?xml version="1.0" encoding="utf-8"?>
<table xmlns="http://schemas.openxmlformats.org/spreadsheetml/2006/main" headerRowCount="0" ref="E5:E10" displayName="Table_4" name="Table_4" id="4">
  <tableColumns count="1">
    <tableColumn name="Column1" id="1"/>
  </tableColumns>
  <tableStyleInfo name="Amazon Unit Economics Model - V-style 4" showColumnStripes="0" showFirstColumn="1" showLastColumn="1" showRowStripes="1"/>
</table>
</file>

<file path=xl/tables/table5.xml><?xml version="1.0" encoding="utf-8"?>
<table xmlns="http://schemas.openxmlformats.org/spreadsheetml/2006/main" headerRowCount="0" ref="F5:T10" displayName="Table_5" name="Table_5" id="5">
  <tableColumns count="15">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 name="Column15" id="15"/>
  </tableColumns>
  <tableStyleInfo name="Amazon Unit Economics Model - V-style 5" showColumnStripes="0" showFirstColumn="1" showLastColumn="1" showRowStripes="1"/>
</table>
</file>

<file path=xl/tables/table6.xml><?xml version="1.0" encoding="utf-8"?>
<table xmlns="http://schemas.openxmlformats.org/spreadsheetml/2006/main" headerRowCount="0" ref="U5:AF11" displayName="Table_6" name="Table_6" id="6">
  <tableColumns count="12">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s>
  <tableStyleInfo name="Amazon Unit Economics Model - V-style 6" showColumnStripes="0" showFirstColumn="1" showLastColumn="1" showRowStripes="1"/>
</table>
</file>

<file path=xl/tables/table7.xml><?xml version="1.0" encoding="utf-8"?>
<table xmlns="http://schemas.openxmlformats.org/spreadsheetml/2006/main" headerRowCount="0" ref="AG5:AS11" displayName="Table_7" name="Table_7" id="7">
  <tableColumns count="13">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s>
  <tableStyleInfo name="Amazon Unit Economics Model - V-style 7" showColumnStripes="0" showFirstColumn="1" showLastColumn="1" showRowStripes="1"/>
</table>
</file>

<file path=xl/tables/table8.xml><?xml version="1.0" encoding="utf-8"?>
<table xmlns="http://schemas.openxmlformats.org/spreadsheetml/2006/main" headerRowCount="0" ref="B16:B22" displayName="Table_8" name="Table_8" id="8">
  <tableColumns count="1">
    <tableColumn name="Column1" id="1"/>
  </tableColumns>
  <tableStyleInfo name="Amazon Unit Economics Model - V-style 8" showColumnStripes="0" showFirstColumn="1" showLastColumn="1" showRowStripes="1"/>
</table>
</file>

<file path=xl/tables/table9.xml><?xml version="1.0" encoding="utf-8"?>
<table xmlns="http://schemas.openxmlformats.org/spreadsheetml/2006/main" headerRowCount="0" ref="T16:T21" displayName="Table_9" name="Table_9" id="9">
  <tableColumns count="1">
    <tableColumn name="Column1" id="1"/>
  </tableColumns>
  <tableStyleInfo name="Amazon Unit Economics Model - V-style 9" showColumnStripes="0" showFirstColumn="1" showLastColumn="1" showRowStripes="1"/>
</table>
</file>

<file path=xl/tables/table10.xml><?xml version="1.0" encoding="utf-8"?>
<table xmlns="http://schemas.openxmlformats.org/spreadsheetml/2006/main" headerRowCount="0" ref="U16:V21" displayName="Table_10" name="Table_10" id="10">
  <tableColumns count="2">
    <tableColumn name="Column1" id="1"/>
    <tableColumn name="Column2" id="2"/>
  </tableColumns>
  <tableStyleInfo name="Amazon Unit Economics Model - V-style 10" showColumnStripes="0" showFirstColumn="1" showLastColumn="1" showRowStripes="1"/>
</table>
</file>

<file path=xl/tables/table11.xml><?xml version="1.0" encoding="utf-8"?>
<table xmlns="http://schemas.openxmlformats.org/spreadsheetml/2006/main" headerRowCount="0" ref="W16:AE22" displayName="Table_11" name="Table_11" id="11">
  <tableColumns count="9">
    <tableColumn name="Column1" id="1"/>
    <tableColumn name="Column2" id="2"/>
    <tableColumn name="Column3" id="3"/>
    <tableColumn name="Column4" id="4"/>
    <tableColumn name="Column5" id="5"/>
    <tableColumn name="Column6" id="6"/>
    <tableColumn name="Column7" id="7"/>
    <tableColumn name="Column8" id="8"/>
    <tableColumn name="Column9" id="9"/>
  </tableColumns>
  <tableStyleInfo name="Amazon Unit Economics Model - V-style 11" showColumnStripes="0" showFirstColumn="1" showLastColumn="1" showRowStripes="1"/>
</table>
</file>

<file path=xl/tables/table12.xml><?xml version="1.0" encoding="utf-8"?>
<table xmlns="http://schemas.openxmlformats.org/spreadsheetml/2006/main" headerRowCount="0" ref="A11:A30" displayName="Table_12" name="Table_12" id="12">
  <tableColumns count="1">
    <tableColumn name="Column1" id="1"/>
  </tableColumns>
  <tableStyleInfo name="Amazon Unit Economics Model @15-style" showColumnStripes="0" showFirstColumn="1" showLastColumn="1" showRowStripes="1"/>
</table>
</file>

<file path=xl/tables/table13.xml><?xml version="1.0" encoding="utf-8"?>
<table xmlns="http://schemas.openxmlformats.org/spreadsheetml/2006/main" headerRowCount="0" ref="B36:B42" displayName="Table_13" name="Table_13" id="13">
  <tableColumns count="1">
    <tableColumn name="Column1" id="1"/>
  </tableColumns>
  <tableStyleInfo name="Amazon Unit Economics Model @15-style 2" showColumnStripes="0" showFirstColumn="1" showLastColumn="1" showRowStripes="1"/>
</table>
</file>

<file path=xl/tables/table14.xml><?xml version="1.0" encoding="utf-8"?>
<table xmlns="http://schemas.openxmlformats.org/spreadsheetml/2006/main" headerRowCount="0" ref="T36:T41" displayName="Table_14" name="Table_14" id="14">
  <tableColumns count="1">
    <tableColumn name="Column1" id="1"/>
  </tableColumns>
  <tableStyleInfo name="Amazon Unit Economics Model @15-style 3" showColumnStripes="0" showFirstColumn="1" showLastColumn="1" showRowStripes="1"/>
</table>
</file>

<file path=xl/tables/table15.xml><?xml version="1.0" encoding="utf-8"?>
<table xmlns="http://schemas.openxmlformats.org/spreadsheetml/2006/main" headerRowCount="0" ref="U36:V41" displayName="Table_15" name="Table_15" id="15">
  <tableColumns count="2">
    <tableColumn name="Column1" id="1"/>
    <tableColumn name="Column2" id="2"/>
  </tableColumns>
  <tableStyleInfo name="Amazon Unit Economics Model @15-style 4" showColumnStripes="0" showFirstColumn="1" showLastColumn="1" showRowStripes="1"/>
</table>
</file>

<file path=xl/tables/table16.xml><?xml version="1.0" encoding="utf-8"?>
<table xmlns="http://schemas.openxmlformats.org/spreadsheetml/2006/main" headerRowCount="0" ref="W36:AE42" displayName="Table_16" name="Table_16" id="16">
  <tableColumns count="9">
    <tableColumn name="Column1" id="1"/>
    <tableColumn name="Column2" id="2"/>
    <tableColumn name="Column3" id="3"/>
    <tableColumn name="Column4" id="4"/>
    <tableColumn name="Column5" id="5"/>
    <tableColumn name="Column6" id="6"/>
    <tableColumn name="Column7" id="7"/>
    <tableColumn name="Column8" id="8"/>
    <tableColumn name="Column9" id="9"/>
  </tableColumns>
  <tableStyleInfo name="Amazon Unit Economics Model @15-style 5" showColumnStripes="0" showFirstColumn="1" showLastColumn="1" showRowStripes="1"/>
</table>
</file>

<file path=xl/tables/table17.xml><?xml version="1.0" encoding="utf-8"?>
<table xmlns="http://schemas.openxmlformats.org/spreadsheetml/2006/main" headerRowCount="0" ref="B5:B26" displayName="Table_17" name="Table_17" id="17">
  <tableColumns count="1">
    <tableColumn name="Column1" id="1"/>
  </tableColumns>
  <tableStyleInfo name="Factory cost targets @15% tarif-style" showColumnStripes="0" showFirstColumn="1" showLastColumn="1" showRowStripes="1"/>
</table>
</file>

<file path=xl/tables/table18.xml><?xml version="1.0" encoding="utf-8"?>
<table xmlns="http://schemas.openxmlformats.org/spreadsheetml/2006/main" headerRowCount="0" ref="C5:C25" displayName="Table_18" name="Table_18" id="18">
  <tableColumns count="1">
    <tableColumn name="Column1" id="1"/>
  </tableColumns>
  <tableStyleInfo name="Factory cost targets @15% tarif-style 2" showColumnStripes="0" showFirstColumn="1" showLastColumn="1" showRowStripes="1"/>
</table>
</file>

<file path=xl/tables/table19.xml><?xml version="1.0" encoding="utf-8"?>
<table xmlns="http://schemas.openxmlformats.org/spreadsheetml/2006/main" headerRowCount="0" ref="D5:D25" displayName="Table_19" name="Table_19" id="19">
  <tableColumns count="1">
    <tableColumn name="Column1" id="1"/>
  </tableColumns>
  <tableStyleInfo name="Factory cost targets @15% tarif-style 3" showColumnStripes="0" showFirstColumn="1" showLastColumn="1" showRowStripes="1"/>
</table>
</file>

<file path=xl/tables/table20.xml><?xml version="1.0" encoding="utf-8"?>
<table xmlns="http://schemas.openxmlformats.org/spreadsheetml/2006/main" headerRowCount="0" ref="E5:E11" displayName="Table_20" name="Table_20" id="20">
  <tableColumns count="1">
    <tableColumn name="Column1" id="1"/>
  </tableColumns>
  <tableStyleInfo name="Factory cost targets @15% tarif-style 4" showColumnStripes="0" showFirstColumn="1" showLastColumn="1" showRowStripes="1"/>
</table>
</file>

<file path=xl/tables/table21.xml><?xml version="1.0" encoding="utf-8"?>
<table xmlns="http://schemas.openxmlformats.org/spreadsheetml/2006/main" headerRowCount="0" ref="F5:T25" displayName="Table_21" name="Table_21" id="21">
  <tableColumns count="15">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 name="Column15" id="15"/>
  </tableColumns>
  <tableStyleInfo name="Factory cost targets @15% tarif-style 5" showColumnStripes="0" showFirstColumn="1" showLastColumn="1" showRowStripes="1"/>
</table>
</file>

<file path=xl/tables/table22.xml><?xml version="1.0" encoding="utf-8"?>
<table xmlns="http://schemas.openxmlformats.org/spreadsheetml/2006/main" headerRowCount="0" ref="U5:AF26" displayName="Table_22" name="Table_22" id="22">
  <tableColumns count="12">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s>
  <tableStyleInfo name="Factory cost targets @15% tarif-style 6" showColumnStripes="0" showFirstColumn="1" showLastColumn="1" showRowStripes="1"/>
</table>
</file>

<file path=xl/tables/table23.xml><?xml version="1.0" encoding="utf-8"?>
<table xmlns="http://schemas.openxmlformats.org/spreadsheetml/2006/main" headerRowCount="0" ref="AG5:AS26" displayName="Table_23" name="Table_23" id="23">
  <tableColumns count="13">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s>
  <tableStyleInfo name="Factory cost targets @15% tarif-style 7" showColumnStripes="0" showFirstColumn="1" showLastColumn="1" showRowStripes="1"/>
</table>
</file>

<file path=xl/tables/table24.xml><?xml version="1.0" encoding="utf-8"?>
<table xmlns="http://schemas.openxmlformats.org/spreadsheetml/2006/main" headerRowCount="0" ref="A7:A8" displayName="Table_24" name="Table_24" id="24">
  <tableColumns count="1">
    <tableColumn name="Column1" id="1"/>
  </tableColumns>
  <tableStyleInfo name="Factory cost targets @15% tarif-style 8" showColumnStripes="0" showFirstColumn="1" showLastColumn="1" showRowStripes="1"/>
</table>
</file>

<file path=xl/tables/table25.xml><?xml version="1.0" encoding="utf-8"?>
<table xmlns="http://schemas.openxmlformats.org/spreadsheetml/2006/main" headerRowCount="0" ref="A11:A25" displayName="Table_25" name="Table_25" id="25">
  <tableColumns count="1">
    <tableColumn name="Column1" id="1"/>
  </tableColumns>
  <tableStyleInfo name="Factory cost targets @15% tarif-style 9" showColumnStripes="0" showFirstColumn="1" showLastColumn="1" showRowStripes="1"/>
</table>
</file>

<file path=xl/tables/table26.xml><?xml version="1.0" encoding="utf-8"?>
<table xmlns="http://schemas.openxmlformats.org/spreadsheetml/2006/main" headerRowCount="0" ref="B31:B37" displayName="Table_26" name="Table_26" id="26">
  <tableColumns count="1">
    <tableColumn name="Column1" id="1"/>
  </tableColumns>
  <tableStyleInfo name="Factory cost targets @15% tarif-style 10" showColumnStripes="0" showFirstColumn="1" showLastColumn="1" showRowStripes="1"/>
</table>
</file>

<file path=xl/tables/table27.xml><?xml version="1.0" encoding="utf-8"?>
<table xmlns="http://schemas.openxmlformats.org/spreadsheetml/2006/main" headerRowCount="0" ref="T31:T36" displayName="Table_27" name="Table_27" id="27">
  <tableColumns count="1">
    <tableColumn name="Column1" id="1"/>
  </tableColumns>
  <tableStyleInfo name="Factory cost targets @15% tarif-style 11" showColumnStripes="0" showFirstColumn="1" showLastColumn="1" showRowStripes="1"/>
</table>
</file>

<file path=xl/tables/table28.xml><?xml version="1.0" encoding="utf-8"?>
<table xmlns="http://schemas.openxmlformats.org/spreadsheetml/2006/main" headerRowCount="0" ref="U31:V36" displayName="Table_28" name="Table_28" id="28">
  <tableColumns count="2">
    <tableColumn name="Column1" id="1"/>
    <tableColumn name="Column2" id="2"/>
  </tableColumns>
  <tableStyleInfo name="Factory cost targets @15% tarif-style 12" showColumnStripes="0" showFirstColumn="1" showLastColumn="1" showRowStripes="1"/>
</table>
</file>

<file path=xl/tables/table29.xml><?xml version="1.0" encoding="utf-8"?>
<table xmlns="http://schemas.openxmlformats.org/spreadsheetml/2006/main" headerRowCount="0" ref="W31:AE37" displayName="Table_29" name="Table_29" id="29">
  <tableColumns count="9">
    <tableColumn name="Column1" id="1"/>
    <tableColumn name="Column2" id="2"/>
    <tableColumn name="Column3" id="3"/>
    <tableColumn name="Column4" id="4"/>
    <tableColumn name="Column5" id="5"/>
    <tableColumn name="Column6" id="6"/>
    <tableColumn name="Column7" id="7"/>
    <tableColumn name="Column8" id="8"/>
    <tableColumn name="Column9" id="9"/>
  </tableColumns>
  <tableStyleInfo name="Factory cost targets @15% tarif-style 13" showColumnStripes="0" showFirstColumn="1" showLastColumn="1" showRowStripes="1"/>
</table>
</file>

<file path=xl/tables/table30.xml><?xml version="1.0" encoding="utf-8"?>
<table xmlns="http://schemas.openxmlformats.org/spreadsheetml/2006/main" headerRowCount="0" ref="B5:B20" displayName="Table_30" name="Table_30" id="30">
  <tableColumns count="1">
    <tableColumn name="Column1" id="1"/>
  </tableColumns>
  <tableStyleInfo name="New Products Pricing -style" showColumnStripes="0" showFirstColumn="1" showLastColumn="1" showRowStripes="1"/>
</table>
</file>

<file path=xl/tables/table31.xml><?xml version="1.0" encoding="utf-8"?>
<table xmlns="http://schemas.openxmlformats.org/spreadsheetml/2006/main" headerRowCount="0" ref="C5:E19" displayName="Table_31" name="Table_31" id="31">
  <tableColumns count="3">
    <tableColumn name="Column1" id="1"/>
    <tableColumn name="Column2" id="2"/>
    <tableColumn name="Column3" id="3"/>
  </tableColumns>
  <tableStyleInfo name="New Products Pricing -style 2" showColumnStripes="0" showFirstColumn="1" showLastColumn="1" showRowStripes="1"/>
</table>
</file>

<file path=xl/tables/table32.xml><?xml version="1.0" encoding="utf-8"?>
<table xmlns="http://schemas.openxmlformats.org/spreadsheetml/2006/main" headerRowCount="0" ref="F5:F19" displayName="Table_32" name="Table_32" id="32">
  <tableColumns count="1">
    <tableColumn name="Column1" id="1"/>
  </tableColumns>
  <tableStyleInfo name="New Products Pricing -style 3" showColumnStripes="0" showFirstColumn="1" showLastColumn="1" showRowStripes="1"/>
</table>
</file>

<file path=xl/tables/table33.xml><?xml version="1.0" encoding="utf-8"?>
<table xmlns="http://schemas.openxmlformats.org/spreadsheetml/2006/main" headerRowCount="0" ref="G5:U19" displayName="Table_33" name="Table_33" id="33">
  <tableColumns count="15">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 name="Column15" id="15"/>
  </tableColumns>
  <tableStyleInfo name="New Products Pricing -style 4" showColumnStripes="0" showFirstColumn="1" showLastColumn="1" showRowStripes="1"/>
</table>
</file>

<file path=xl/tables/table34.xml><?xml version="1.0" encoding="utf-8"?>
<table xmlns="http://schemas.openxmlformats.org/spreadsheetml/2006/main" headerRowCount="0" ref="V5:AG20" displayName="Table_34" name="Table_34" id="34">
  <tableColumns count="12">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s>
  <tableStyleInfo name="New Products Pricing -style 5" showColumnStripes="0" showFirstColumn="1" showLastColumn="1" showRowStripes="1"/>
</table>
</file>

<file path=xl/tables/table35.xml><?xml version="1.0" encoding="utf-8"?>
<table xmlns="http://schemas.openxmlformats.org/spreadsheetml/2006/main" headerRowCount="0" ref="AH5:AI20" displayName="Table_35" name="Table_35" id="35">
  <tableColumns count="2">
    <tableColumn name="Column1" id="1"/>
    <tableColumn name="Column2" id="2"/>
  </tableColumns>
  <tableStyleInfo name="New Products Pricing -style 6" showColumnStripes="0" showFirstColumn="1" showLastColumn="1" showRowStripes="1"/>
</table>
</file>

<file path=xl/tables/table36.xml><?xml version="1.0" encoding="utf-8"?>
<table xmlns="http://schemas.openxmlformats.org/spreadsheetml/2006/main" ref="A1:AO158" displayName="Table_36" name="Table_36" id="36">
  <tableColumns count="41">
    <tableColumn name="date/time" id="1"/>
    <tableColumn name="settlement id" id="2"/>
    <tableColumn name="type" id="3"/>
    <tableColumn name="order id" id="4"/>
    <tableColumn name="sku" id="5"/>
    <tableColumn name="description" id="6"/>
    <tableColumn name="quantity" id="7"/>
    <tableColumn name="marketplace" id="8"/>
    <tableColumn name="account type" id="9"/>
    <tableColumn name="fulfillment" id="10"/>
    <tableColumn name="order city" id="11"/>
    <tableColumn name="order state" id="12"/>
    <tableColumn name="order postal" id="13"/>
    <tableColumn name="tax collection model" id="14"/>
    <tableColumn name="product sales" id="15"/>
    <tableColumn name="product sales tax" id="16"/>
    <tableColumn name="shipping credits" id="17"/>
    <tableColumn name="shipping credits tax" id="18"/>
    <tableColumn name="gift wrap credits" id="19"/>
    <tableColumn name="giftwrap credits tax" id="20"/>
    <tableColumn name="Regulatory Fee" id="21"/>
    <tableColumn name="Tax On Regulatory Fee" id="22"/>
    <tableColumn name="promotional rebates" id="23"/>
    <tableColumn name="promotional rebates tax" id="24"/>
    <tableColumn name="marketplace withheld tax" id="25"/>
    <tableColumn name="selling fees" id="26"/>
    <tableColumn name="fba fees" id="27"/>
    <tableColumn name="other transaction fees" id="28"/>
    <tableColumn name="other" id="29"/>
    <tableColumn name="total" id="30"/>
    <tableColumn name="Product sales2" id="31"/>
    <tableColumn name="Sales return" id="32"/>
    <tableColumn name="Net sales" id="33"/>
    <tableColumn name="Sales qty" id="34"/>
    <tableColumn name="Return qty" id="35"/>
    <tableColumn name="Net qty" id="36"/>
    <tableColumn name="Amazon SF" id="37"/>
    <tableColumn name="Amazon FF" id="38"/>
    <tableColumn name="Amazon OF" id="39"/>
    <tableColumn name="Amazon TF" id="40"/>
    <tableColumn name="OM1" id="41"/>
  </tableColumns>
  <tableStyleInfo name="2025Sep1-2025Sep30CustomUnified-style" showColumnStripes="0" showFirstColumn="1" showLastColumn="1" showRowStripes="1"/>
</table>
</file>

<file path=xl/tables/table37.xml><?xml version="1.0" encoding="utf-8"?>
<table xmlns="http://schemas.openxmlformats.org/spreadsheetml/2006/main" headerRowCount="0" ref="B5:H8" displayName="Table_37" name="Table_37" id="37">
  <tableColumns count="7">
    <tableColumn name="Column1" id="1"/>
    <tableColumn name="Column2" id="2"/>
    <tableColumn name="Column3" id="3"/>
    <tableColumn name="Column4" id="4"/>
    <tableColumn name="Column5" id="5"/>
    <tableColumn name="Column6" id="6"/>
    <tableColumn name="Column7" id="7"/>
  </tableColumns>
  <tableStyleInfo name="VVI data-style" showColumnStripes="0" showFirstColumn="1" showLastColumn="1" showRowStripes="1"/>
</table>
</file>

<file path=xl/tables/table38.xml><?xml version="1.0" encoding="utf-8"?>
<table xmlns="http://schemas.openxmlformats.org/spreadsheetml/2006/main" headerRowCount="0" ref="B12:B15" displayName="Table_38" name="Table_38" id="38">
  <tableColumns count="1">
    <tableColumn name="Column1" id="1"/>
  </tableColumns>
  <tableStyleInfo name="VVI data-style 2" showColumnStripes="0" showFirstColumn="1" showLastColumn="1" showRowStripes="1"/>
</table>
</file>

<file path=xl/tables/table39.xml><?xml version="1.0" encoding="utf-8"?>
<table xmlns="http://schemas.openxmlformats.org/spreadsheetml/2006/main" headerRowCount="0" ref="B19:B22" displayName="Table_39" name="Table_39" id="39">
  <tableColumns count="1">
    <tableColumn name="Column1" id="1"/>
  </tableColumns>
  <tableStyleInfo name="VVI data-style 3"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467886"/>
      </a:folHlink>
    </a:clrScheme>
    <a:fontScheme name="Sheets">
      <a:majorFont>
        <a:latin typeface="Aptos Narrow"/>
        <a:ea typeface="Aptos Narrow"/>
        <a:cs typeface="Aptos Narrow"/>
      </a:majorFont>
      <a:minorFont>
        <a:latin typeface="Aptos Narrow"/>
        <a:ea typeface="Aptos Narrow"/>
        <a:cs typeface="Aptos Narrow"/>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threadedComments/threadedComment1.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AC3" dT="2025-11-19T08:15:04.00" personId="{e135573b-ba9c-4047-831b-74046300a87d}" id="{62a6f313-c9b2-4988-9cbe-8132be1cb6cf}" done="1">
    <x18tc:text xml:space="preserve">15% of net + 3% return admin on returned items</x18tc:text>
  </x18tc:threadedComment>
</x18tc:ThreadedComments>
</file>

<file path=xl/worksheets/_rels/sheet1.xml.rels><?xml version="1.0" encoding="UTF-8" standalone="yes"?><Relationships xmlns="http://schemas.openxmlformats.org/package/2006/relationships"><Relationship Id="rId1" Type="http://schemas.openxmlformats.org/officeDocument/2006/relationships/comments" Target="../comments1.xml"/><Relationship Id="rId2" Type="http://schemas.microsoft.com/office/2017/10/relationships/threadedComment" Target="../threadedComments/threadedComment1.xml"/><Relationship Id="rId3" Type="http://schemas.microsoft.com/office/2019/04/relationships/documenttask" Target="../documenttasks/documenttask1.xml"/><Relationship Id="rId4" Type="http://schemas.openxmlformats.org/officeDocument/2006/relationships/drawing" Target="../drawings/drawing1.xml"/><Relationship Id="rId5" Type="http://schemas.openxmlformats.org/officeDocument/2006/relationships/vmlDrawing" Target="../drawings/vmlDrawing1.v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 Id="rId20" Type="http://schemas.openxmlformats.org/officeDocument/2006/relationships/table" Target="../tables/table8.xml"/><Relationship Id="rId22" Type="http://schemas.openxmlformats.org/officeDocument/2006/relationships/table" Target="../tables/table10.xml"/><Relationship Id="rId21" Type="http://schemas.openxmlformats.org/officeDocument/2006/relationships/table" Target="../tables/table9.xml"/><Relationship Id="rId13" Type="http://schemas.openxmlformats.org/officeDocument/2006/relationships/table" Target="../tables/table1.xml"/><Relationship Id="rId23" Type="http://schemas.openxmlformats.org/officeDocument/2006/relationships/table" Target="../tables/table11.xml"/><Relationship Id="rId15" Type="http://schemas.openxmlformats.org/officeDocument/2006/relationships/table" Target="../tables/table3.xml"/><Relationship Id="rId14" Type="http://schemas.openxmlformats.org/officeDocument/2006/relationships/table" Target="../tables/table2.xml"/><Relationship Id="rId17" Type="http://schemas.openxmlformats.org/officeDocument/2006/relationships/table" Target="../tables/table5.xml"/><Relationship Id="rId16" Type="http://schemas.openxmlformats.org/officeDocument/2006/relationships/table" Target="../tables/table4.xml"/><Relationship Id="rId19" Type="http://schemas.openxmlformats.org/officeDocument/2006/relationships/table" Target="../tables/table7.xml"/><Relationship Id="rId18" Type="http://schemas.openxmlformats.org/officeDocument/2006/relationships/table" Target="../tables/table6.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 Id="rId11" Type="http://schemas.openxmlformats.org/officeDocument/2006/relationships/table" Target="../tables/table16.xml"/><Relationship Id="rId10" Type="http://schemas.openxmlformats.org/officeDocument/2006/relationships/table" Target="../tables/table15.xml"/><Relationship Id="rId9" Type="http://schemas.openxmlformats.org/officeDocument/2006/relationships/table" Target="../tables/table14.xml"/><Relationship Id="rId7" Type="http://schemas.openxmlformats.org/officeDocument/2006/relationships/table" Target="../tables/table12.xml"/><Relationship Id="rId8" Type="http://schemas.openxmlformats.org/officeDocument/2006/relationships/table" Target="../tables/table13.xml"/></Relationships>
</file>

<file path=xl/worksheets/_rels/sheet7.xml.rels><?xml version="1.0" encoding="UTF-8" standalone="yes"?><Relationships xmlns="http://schemas.openxmlformats.org/package/2006/relationships"><Relationship Id="rId20" Type="http://schemas.openxmlformats.org/officeDocument/2006/relationships/table" Target="../tables/table22.xml"/><Relationship Id="rId22" Type="http://schemas.openxmlformats.org/officeDocument/2006/relationships/table" Target="../tables/table24.xml"/><Relationship Id="rId21" Type="http://schemas.openxmlformats.org/officeDocument/2006/relationships/table" Target="../tables/table23.xml"/><Relationship Id="rId24" Type="http://schemas.openxmlformats.org/officeDocument/2006/relationships/table" Target="../tables/table26.xml"/><Relationship Id="rId23" Type="http://schemas.openxmlformats.org/officeDocument/2006/relationships/table" Target="../tables/table25.xml"/><Relationship Id="rId1" Type="http://schemas.openxmlformats.org/officeDocument/2006/relationships/drawing" Target="../drawings/drawing7.xml"/><Relationship Id="rId15" Type="http://schemas.openxmlformats.org/officeDocument/2006/relationships/table" Target="../tables/table17.xml"/><Relationship Id="rId26" Type="http://schemas.openxmlformats.org/officeDocument/2006/relationships/table" Target="../tables/table28.xml"/><Relationship Id="rId25" Type="http://schemas.openxmlformats.org/officeDocument/2006/relationships/table" Target="../tables/table27.xml"/><Relationship Id="rId17" Type="http://schemas.openxmlformats.org/officeDocument/2006/relationships/table" Target="../tables/table19.xml"/><Relationship Id="rId16" Type="http://schemas.openxmlformats.org/officeDocument/2006/relationships/table" Target="../tables/table18.xml"/><Relationship Id="rId27" Type="http://schemas.openxmlformats.org/officeDocument/2006/relationships/table" Target="../tables/table29.xml"/><Relationship Id="rId19" Type="http://schemas.openxmlformats.org/officeDocument/2006/relationships/table" Target="../tables/table21.xml"/><Relationship Id="rId18" Type="http://schemas.openxmlformats.org/officeDocument/2006/relationships/table" Target="../tables/table20.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1" Type="http://schemas.openxmlformats.org/officeDocument/2006/relationships/table" Target="../tables/table33.xml"/><Relationship Id="rId10" Type="http://schemas.openxmlformats.org/officeDocument/2006/relationships/table" Target="../tables/table32.xml"/><Relationship Id="rId13" Type="http://schemas.openxmlformats.org/officeDocument/2006/relationships/table" Target="../tables/table35.xml"/><Relationship Id="rId12" Type="http://schemas.openxmlformats.org/officeDocument/2006/relationships/table" Target="../tables/table34.xml"/><Relationship Id="rId1" Type="http://schemas.openxmlformats.org/officeDocument/2006/relationships/drawing" Target="../drawings/drawing9.xml"/><Relationship Id="rId9" Type="http://schemas.openxmlformats.org/officeDocument/2006/relationships/table" Target="../tables/table31.xml"/><Relationship Id="rId8" Type="http://schemas.openxmlformats.org/officeDocument/2006/relationships/table" Target="../tables/table30.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 Id="rId3" Type="http://schemas.openxmlformats.org/officeDocument/2006/relationships/table" Target="../tables/table36.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3.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4.x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15.xml"/><Relationship Id="rId5" Type="http://schemas.openxmlformats.org/officeDocument/2006/relationships/table" Target="../tables/table37.xml"/><Relationship Id="rId6" Type="http://schemas.openxmlformats.org/officeDocument/2006/relationships/table" Target="../tables/table38.xml"/><Relationship Id="rId7" Type="http://schemas.openxmlformats.org/officeDocument/2006/relationships/table" Target="../tables/table39.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5.0" topLeftCell="F1" activePane="topRight" state="frozen"/>
      <selection activeCell="G2" sqref="G2" pane="topRight"/>
    </sheetView>
  </sheetViews>
  <sheetFormatPr customHeight="1" defaultColWidth="12.63" defaultRowHeight="15.0"/>
  <cols>
    <col customWidth="1" min="1" max="1" width="14.25"/>
    <col customWidth="1" min="2" max="2" width="13.0"/>
    <col customWidth="1" min="23" max="23" width="14.13"/>
    <col customWidth="1" min="26" max="26" width="11.63"/>
    <col customWidth="1" min="27" max="27" width="15.25"/>
    <col customWidth="1" min="29" max="29" width="17.63"/>
    <col customWidth="1" min="32" max="32" width="17.38"/>
    <col customWidth="1" min="33" max="33" width="21.13"/>
    <col customWidth="1" min="34" max="34" width="13.38"/>
    <col customWidth="1" min="37" max="37" width="11.75"/>
    <col customWidth="1" min="38" max="40" width="17.0"/>
  </cols>
  <sheetData>
    <row r="1">
      <c r="A1" s="1"/>
      <c r="B1" s="2"/>
      <c r="C1" s="1"/>
      <c r="D1" s="1"/>
      <c r="E1" s="1"/>
      <c r="F1" s="1"/>
      <c r="G1" s="1"/>
      <c r="H1" s="1"/>
      <c r="I1" s="1"/>
      <c r="J1" s="1"/>
      <c r="K1" s="3" t="s">
        <v>0</v>
      </c>
      <c r="L1" s="4">
        <v>0.07</v>
      </c>
      <c r="M1" s="2"/>
      <c r="N1" s="5"/>
      <c r="O1" s="5"/>
      <c r="P1" s="5"/>
      <c r="Q1" s="5"/>
      <c r="R1" s="5"/>
      <c r="S1" s="5"/>
      <c r="T1" s="5"/>
      <c r="U1" s="5"/>
      <c r="V1" s="5"/>
      <c r="W1" s="5"/>
      <c r="X1" s="5"/>
      <c r="Y1" s="5"/>
      <c r="AC1" s="6"/>
      <c r="AD1" s="7"/>
      <c r="AE1" s="2"/>
      <c r="AF1" s="2"/>
      <c r="AG1" s="2"/>
      <c r="AH1" s="2"/>
      <c r="AI1" s="2"/>
      <c r="AJ1" s="2"/>
      <c r="AK1" s="2"/>
      <c r="AL1" s="2"/>
      <c r="AM1" s="2"/>
      <c r="AN1" s="2"/>
      <c r="AO1" s="2"/>
      <c r="AP1" s="2"/>
      <c r="AQ1" s="2"/>
    </row>
    <row r="2">
      <c r="A2" s="1"/>
      <c r="B2" s="8"/>
      <c r="C2" s="9" t="s">
        <v>1</v>
      </c>
      <c r="D2" s="10"/>
      <c r="E2" s="11"/>
      <c r="F2" s="12"/>
      <c r="G2" s="1"/>
      <c r="H2" s="1"/>
      <c r="I2" s="1"/>
      <c r="J2" s="13">
        <v>84.0</v>
      </c>
      <c r="K2" s="14">
        <v>7.0</v>
      </c>
      <c r="L2" s="4">
        <v>0.18</v>
      </c>
      <c r="M2" s="8"/>
      <c r="N2" s="5"/>
      <c r="O2" s="5"/>
      <c r="P2" s="5"/>
      <c r="Q2" s="15" t="s">
        <v>2</v>
      </c>
      <c r="R2" s="16"/>
      <c r="S2" s="16"/>
      <c r="T2" s="16"/>
      <c r="U2" s="17"/>
      <c r="V2" s="5"/>
      <c r="W2" s="5"/>
      <c r="X2" s="5"/>
      <c r="Y2" s="5"/>
      <c r="Z2" s="18">
        <v>0.06</v>
      </c>
      <c r="AA2" s="18"/>
      <c r="AB2" s="18"/>
      <c r="AC2" s="19"/>
      <c r="AD2" s="19"/>
      <c r="AE2" s="8"/>
      <c r="AF2" s="8"/>
      <c r="AG2" s="8"/>
      <c r="AH2" s="8"/>
      <c r="AI2" s="8"/>
      <c r="AJ2" s="8"/>
      <c r="AK2" s="8"/>
      <c r="AL2" s="8"/>
      <c r="AM2" s="8"/>
      <c r="AN2" s="8"/>
      <c r="AO2" s="8"/>
      <c r="AP2" s="8"/>
      <c r="AQ2" s="8"/>
    </row>
    <row r="3" ht="68.25" customHeight="1">
      <c r="A3" s="20" t="s">
        <v>3</v>
      </c>
      <c r="B3" s="21" t="s">
        <v>4</v>
      </c>
      <c r="C3" s="22" t="s">
        <v>5</v>
      </c>
      <c r="D3" s="22" t="s">
        <v>6</v>
      </c>
      <c r="E3" s="22" t="s">
        <v>7</v>
      </c>
      <c r="F3" s="21" t="s">
        <v>8</v>
      </c>
      <c r="G3" s="22" t="s">
        <v>9</v>
      </c>
      <c r="H3" s="22" t="s">
        <v>10</v>
      </c>
      <c r="I3" s="22" t="s">
        <v>11</v>
      </c>
      <c r="J3" s="22" t="s">
        <v>12</v>
      </c>
      <c r="K3" s="21" t="s">
        <v>13</v>
      </c>
      <c r="L3" s="22" t="s">
        <v>14</v>
      </c>
      <c r="M3" s="22" t="s">
        <v>15</v>
      </c>
      <c r="N3" s="22" t="s">
        <v>16</v>
      </c>
      <c r="O3" s="22" t="s">
        <v>17</v>
      </c>
      <c r="P3" s="22" t="s">
        <v>18</v>
      </c>
      <c r="Q3" s="22" t="s">
        <v>19</v>
      </c>
      <c r="R3" s="22" t="s">
        <v>20</v>
      </c>
      <c r="S3" s="22" t="s">
        <v>21</v>
      </c>
      <c r="T3" s="22" t="s">
        <v>22</v>
      </c>
      <c r="U3" s="22" t="s">
        <v>23</v>
      </c>
      <c r="V3" s="21" t="s">
        <v>24</v>
      </c>
      <c r="W3" s="21" t="s">
        <v>25</v>
      </c>
      <c r="X3" s="21" t="s">
        <v>26</v>
      </c>
      <c r="Y3" s="22" t="s">
        <v>27</v>
      </c>
      <c r="Z3" s="21" t="s">
        <v>28</v>
      </c>
      <c r="AA3" s="22" t="s">
        <v>29</v>
      </c>
      <c r="AB3" s="22" t="s">
        <v>30</v>
      </c>
      <c r="AC3" s="21" t="s">
        <v>31</v>
      </c>
      <c r="AD3" s="22" t="s">
        <v>32</v>
      </c>
      <c r="AE3" s="21" t="s">
        <v>33</v>
      </c>
      <c r="AF3" s="21" t="s">
        <v>34</v>
      </c>
      <c r="AG3" s="22" t="s">
        <v>35</v>
      </c>
      <c r="AH3" s="22" t="s">
        <v>36</v>
      </c>
      <c r="AI3" s="21" t="s">
        <v>37</v>
      </c>
      <c r="AJ3" s="21" t="s">
        <v>38</v>
      </c>
      <c r="AK3" s="21" t="s">
        <v>39</v>
      </c>
      <c r="AL3" s="21" t="s">
        <v>40</v>
      </c>
      <c r="AM3" s="21" t="s">
        <v>41</v>
      </c>
      <c r="AN3" s="23" t="s">
        <v>42</v>
      </c>
      <c r="AO3" s="21" t="s">
        <v>43</v>
      </c>
      <c r="AP3" s="21" t="s">
        <v>44</v>
      </c>
      <c r="AQ3" s="21" t="s">
        <v>45</v>
      </c>
    </row>
    <row r="4">
      <c r="A4" s="24" t="s">
        <v>46</v>
      </c>
      <c r="B4" s="25" t="s">
        <v>47</v>
      </c>
      <c r="C4" s="26">
        <v>23.0</v>
      </c>
      <c r="D4" s="26">
        <v>15.0</v>
      </c>
      <c r="E4" s="27">
        <v>9.0</v>
      </c>
      <c r="F4" s="26">
        <v>33.3</v>
      </c>
      <c r="G4" s="28">
        <v>2200.0</v>
      </c>
      <c r="H4" s="26">
        <v>1.0</v>
      </c>
      <c r="I4" s="29">
        <f t="shared" ref="I4:I22" si="1">C4*D4*E4/12^3</f>
        <v>1.796875</v>
      </c>
      <c r="J4" s="30">
        <f t="shared" ref="J4:J22" si="2">G4/$J$2</f>
        <v>26.19047619</v>
      </c>
      <c r="K4" s="30">
        <f t="shared" ref="K4:K22" si="3">$K$2*I4</f>
        <v>12.578125</v>
      </c>
      <c r="L4" s="30">
        <f t="shared" ref="L4:L22" si="4">J4*(1+$L$1)*$L$2</f>
        <v>5.044285714</v>
      </c>
      <c r="M4" s="30">
        <f t="shared" ref="M4:M22" si="5">L4+K4+J4</f>
        <v>43.8128869</v>
      </c>
      <c r="N4" s="31">
        <f t="shared" ref="N4:N22" si="6">F4</f>
        <v>33.3</v>
      </c>
      <c r="O4" s="31">
        <f t="shared" ref="O4:O22" si="7">roundup(C4*D4*E4/139,0)</f>
        <v>23</v>
      </c>
      <c r="P4" s="31">
        <f t="shared" ref="P4:P22" si="8">MAX(N4,O4)</f>
        <v>33.3</v>
      </c>
      <c r="Q4" s="32">
        <f>if(P4&lt;1,Cockpit!$H$7,if(P4&lt;20,Cockpit!$H$8,if(P4&lt;50,Cockpit!$H$9,if(P4&lt;70,Cockpit!$H$10,if(P4&lt;150,Cockpit!$H$11,Cockpit!$H$12)))))</f>
        <v>3</v>
      </c>
      <c r="R4" s="32">
        <f>if(MAX(C4:E4)&lt;15,Cockpit!$L$7,if(MAX(C4:E4)&lt;18,Cockpit!$L$8,if(MAX(C4:E4)&lt;59,Cockpit!$L$9,Cockpit!$L$10)))</f>
        <v>3</v>
      </c>
      <c r="S4" s="32">
        <f>if(MEDIAN(C4:E4)&lt;0.12,Cockpit!$L$7,if(MEDIAN(C4:E4)&lt;14,Cockpit!$L$8,if(MEDIAN(C4:E4)&lt;33,Cockpit!$L$9,Cockpit!$L$10)))</f>
        <v>3</v>
      </c>
      <c r="T4" s="32">
        <f>if(MIN(C4:E4)&lt;0.75,Cockpit!$L$7,if(MIN(C4:E4)&lt;8,Cockpit!$L$8,if(MIN(C4:E4)&lt;33,Cockpit!$L$9,Cockpit!$L$10)))</f>
        <v>3</v>
      </c>
      <c r="U4" s="32">
        <f t="shared" ref="U4:U22" si="9">MAX(Q4:T4)</f>
        <v>3</v>
      </c>
      <c r="V4" s="29">
        <f>VLOOKUP($U4,Cockpit!$H$16:$M$22,3, FALSE)</f>
        <v>10.65</v>
      </c>
      <c r="W4" s="29">
        <f>VLOOKUP($U4,Cockpit!$H$16:$M$22,4, FALSE)</f>
        <v>0.38</v>
      </c>
      <c r="X4" s="29">
        <f>VLOOKUP($U4,Cockpit!$H$16:$M$22,5, FALSE)</f>
        <v>1</v>
      </c>
      <c r="Y4" s="29">
        <f t="shared" ref="Y4:Y22" si="10">V4+W4*(P4-X4)</f>
        <v>22.924</v>
      </c>
      <c r="Z4" s="30">
        <f t="shared" ref="Z4:Z22" si="11">$Z$2*AI4</f>
        <v>11.9994</v>
      </c>
      <c r="AA4" s="33">
        <f t="shared" ref="AA4:AA22" si="12">M4+Y4+Z4</f>
        <v>78.7362869</v>
      </c>
      <c r="AB4" s="34">
        <v>0.15</v>
      </c>
      <c r="AC4" s="35">
        <f t="shared" ref="AC4:AC22" si="13">(1-AB4)*15% + 3%*AB4</f>
        <v>0.132</v>
      </c>
      <c r="AD4" s="34">
        <v>0.25</v>
      </c>
      <c r="AE4" s="36">
        <v>0.15</v>
      </c>
      <c r="AF4" s="35">
        <f t="shared" ref="AF4:AF22" si="14">AB4+AC4+AD4+AE4</f>
        <v>0.682</v>
      </c>
      <c r="AG4" s="35">
        <f t="shared" ref="AG4:AG22" si="15">1-AF4</f>
        <v>0.318</v>
      </c>
      <c r="AH4" s="37">
        <f t="shared" ref="AH4:AH22" si="16">AA4/AG4</f>
        <v>247.5983865</v>
      </c>
      <c r="AI4" s="38">
        <v>199.99</v>
      </c>
      <c r="AJ4" s="34">
        <v>0.25</v>
      </c>
      <c r="AK4" s="34">
        <v>0.15</v>
      </c>
      <c r="AL4" s="35">
        <f t="shared" ref="AL4:AL22" si="17">M4/AI4</f>
        <v>0.2190753883</v>
      </c>
      <c r="AM4" s="35">
        <f t="shared" ref="AM4:AM22" si="18">1-AJ4-AK4-AC4-(Y4+Z4)/AI4</f>
        <v>0.2933742687</v>
      </c>
      <c r="AN4" s="35">
        <f t="shared" ref="AN4:AN22" si="19">1-AJ4-AK4-AC4-AA4/AI4</f>
        <v>0.07429888042</v>
      </c>
      <c r="AO4" s="35">
        <f t="shared" ref="AO4:AO22" si="20">AN4+AJ4</f>
        <v>0.3242988804</v>
      </c>
      <c r="AP4" s="35">
        <f t="shared" ref="AP4:AP22" si="21">Y4/AI4</f>
        <v>0.1146257313</v>
      </c>
      <c r="AQ4" s="35">
        <f t="shared" ref="AQ4:AQ22" si="22">AI4*AN4/M4</f>
        <v>0.3391475464</v>
      </c>
    </row>
    <row r="5">
      <c r="A5" s="39" t="s">
        <v>48</v>
      </c>
      <c r="B5" s="40" t="s">
        <v>47</v>
      </c>
      <c r="C5" s="41">
        <v>23.0</v>
      </c>
      <c r="D5" s="41">
        <v>6.0</v>
      </c>
      <c r="E5" s="41">
        <v>18.0</v>
      </c>
      <c r="F5" s="41">
        <v>14.1</v>
      </c>
      <c r="G5" s="42">
        <v>1650.0</v>
      </c>
      <c r="H5" s="41">
        <v>1.0</v>
      </c>
      <c r="I5" s="43">
        <f t="shared" si="1"/>
        <v>1.4375</v>
      </c>
      <c r="J5" s="44">
        <f t="shared" si="2"/>
        <v>19.64285714</v>
      </c>
      <c r="K5" s="44">
        <f t="shared" si="3"/>
        <v>10.0625</v>
      </c>
      <c r="L5" s="44">
        <f t="shared" si="4"/>
        <v>3.783214286</v>
      </c>
      <c r="M5" s="44">
        <f t="shared" si="5"/>
        <v>33.48857143</v>
      </c>
      <c r="N5" s="41">
        <f t="shared" si="6"/>
        <v>14.1</v>
      </c>
      <c r="O5" s="41">
        <f t="shared" si="7"/>
        <v>18</v>
      </c>
      <c r="P5" s="41">
        <f t="shared" si="8"/>
        <v>18</v>
      </c>
      <c r="Q5" s="45">
        <f>if(P5&lt;1,Cockpit!$H$7,if(P5&lt;20,Cockpit!$H$8,if(P5&lt;50,Cockpit!$H$9,if(P5&lt;70,Cockpit!$H$10,if(P5&lt;150,Cockpit!$H$11,Cockpit!$H$12)))))</f>
        <v>2</v>
      </c>
      <c r="R5" s="45">
        <f>if(MAX(C5:E5)&lt;15,Cockpit!$L$7,if(MAX(C5:E5)&lt;18,Cockpit!$L$8,if(MAX(C5:E5)&lt;59,Cockpit!$L$9,Cockpit!$L$10)))</f>
        <v>3</v>
      </c>
      <c r="S5" s="45">
        <f>if(MEDIAN(C5:E5)&lt;0.12,Cockpit!$L$7,if(MEDIAN(C5:E5)&lt;14,Cockpit!$L$8,if(MEDIAN(C5:E5)&lt;33,Cockpit!$L$9,Cockpit!$L$10)))</f>
        <v>3</v>
      </c>
      <c r="T5" s="45">
        <f>if(MIN(C5:E5)&lt;0.75,Cockpit!$L$7,if(MIN(C5:E5)&lt;8,Cockpit!$L$8,if(MIN(C5:E5)&lt;33,Cockpit!$L$9,Cockpit!$L$10)))</f>
        <v>2</v>
      </c>
      <c r="U5" s="45">
        <f t="shared" si="9"/>
        <v>3</v>
      </c>
      <c r="V5" s="46">
        <f>VLOOKUP($U5,Cockpit!$H$16:$M$22,3, FALSE)</f>
        <v>10.65</v>
      </c>
      <c r="W5" s="46">
        <f>VLOOKUP($U5,Cockpit!$H$16:$M$22,4, FALSE)</f>
        <v>0.38</v>
      </c>
      <c r="X5" s="46">
        <f>VLOOKUP($U5,Cockpit!$H$16:$M$22,5, FALSE)</f>
        <v>1</v>
      </c>
      <c r="Y5" s="46">
        <f t="shared" si="10"/>
        <v>17.11</v>
      </c>
      <c r="Z5" s="44">
        <f t="shared" si="11"/>
        <v>8.9994</v>
      </c>
      <c r="AA5" s="47">
        <f t="shared" si="12"/>
        <v>59.59797143</v>
      </c>
      <c r="AB5" s="48">
        <v>0.15</v>
      </c>
      <c r="AC5" s="49">
        <f t="shared" si="13"/>
        <v>0.132</v>
      </c>
      <c r="AD5" s="48">
        <v>0.25</v>
      </c>
      <c r="AE5" s="50">
        <v>0.15</v>
      </c>
      <c r="AF5" s="49">
        <f t="shared" si="14"/>
        <v>0.682</v>
      </c>
      <c r="AG5" s="49">
        <f t="shared" si="15"/>
        <v>0.318</v>
      </c>
      <c r="AH5" s="51">
        <f t="shared" si="16"/>
        <v>187.4150045</v>
      </c>
      <c r="AI5" s="52">
        <v>149.99</v>
      </c>
      <c r="AJ5" s="48">
        <v>0.25</v>
      </c>
      <c r="AK5" s="48">
        <v>0.15</v>
      </c>
      <c r="AL5" s="49">
        <f t="shared" si="17"/>
        <v>0.2232720277</v>
      </c>
      <c r="AM5" s="49">
        <f t="shared" si="18"/>
        <v>0.2939257284</v>
      </c>
      <c r="AN5" s="49">
        <f t="shared" si="19"/>
        <v>0.07065370072</v>
      </c>
      <c r="AO5" s="49">
        <f t="shared" si="20"/>
        <v>0.3206537007</v>
      </c>
      <c r="AP5" s="49">
        <f t="shared" si="21"/>
        <v>0.1140742716</v>
      </c>
      <c r="AQ5" s="49">
        <f t="shared" si="22"/>
        <v>0.3164467196</v>
      </c>
    </row>
    <row r="6">
      <c r="A6" s="24" t="s">
        <v>49</v>
      </c>
      <c r="B6" s="25" t="s">
        <v>47</v>
      </c>
      <c r="C6" s="26">
        <v>23.0</v>
      </c>
      <c r="D6" s="26">
        <v>6.0</v>
      </c>
      <c r="E6" s="26">
        <v>18.0</v>
      </c>
      <c r="F6" s="26">
        <v>14.1</v>
      </c>
      <c r="G6" s="53">
        <v>1650.0</v>
      </c>
      <c r="H6" s="26">
        <v>1.0</v>
      </c>
      <c r="I6" s="54">
        <f t="shared" si="1"/>
        <v>1.4375</v>
      </c>
      <c r="J6" s="30">
        <f t="shared" si="2"/>
        <v>19.64285714</v>
      </c>
      <c r="K6" s="30">
        <f t="shared" si="3"/>
        <v>10.0625</v>
      </c>
      <c r="L6" s="30">
        <f t="shared" si="4"/>
        <v>3.783214286</v>
      </c>
      <c r="M6" s="30">
        <f t="shared" si="5"/>
        <v>33.48857143</v>
      </c>
      <c r="N6" s="31">
        <f t="shared" si="6"/>
        <v>14.1</v>
      </c>
      <c r="O6" s="31">
        <f t="shared" si="7"/>
        <v>18</v>
      </c>
      <c r="P6" s="31">
        <f t="shared" si="8"/>
        <v>18</v>
      </c>
      <c r="Q6" s="32">
        <f>if(P6&lt;1,Cockpit!$H$7,if(P6&lt;20,Cockpit!$H$8,if(P6&lt;50,Cockpit!$H$9,if(P6&lt;70,Cockpit!$H$10,if(P6&lt;150,Cockpit!$H$11,Cockpit!$H$12)))))</f>
        <v>2</v>
      </c>
      <c r="R6" s="32">
        <f>if(MAX(C6:E6)&lt;15,Cockpit!$L$7,if(MAX(C6:E6)&lt;18,Cockpit!$L$8,if(MAX(C6:E6)&lt;59,Cockpit!$L$9,Cockpit!$L$10)))</f>
        <v>3</v>
      </c>
      <c r="S6" s="32">
        <f>if(MEDIAN(C6:E6)&lt;0.12,Cockpit!$L$7,if(MEDIAN(C6:E6)&lt;14,Cockpit!$L$8,if(MEDIAN(C6:E6)&lt;33,Cockpit!$L$9,Cockpit!$L$10)))</f>
        <v>3</v>
      </c>
      <c r="T6" s="32">
        <f>if(MIN(C6:E6)&lt;0.75,Cockpit!$L$7,if(MIN(C6:E6)&lt;8,Cockpit!$L$8,if(MIN(C6:E6)&lt;33,Cockpit!$L$9,Cockpit!$L$10)))</f>
        <v>2</v>
      </c>
      <c r="U6" s="32">
        <f t="shared" si="9"/>
        <v>3</v>
      </c>
      <c r="V6" s="29">
        <f>VLOOKUP($U6,Cockpit!$H$16:$M$22,3, FALSE)</f>
        <v>10.65</v>
      </c>
      <c r="W6" s="29">
        <f>VLOOKUP($U6,Cockpit!$H$16:$M$22,4, FALSE)</f>
        <v>0.38</v>
      </c>
      <c r="X6" s="29">
        <f>VLOOKUP($U6,Cockpit!$H$16:$M$22,5, FALSE)</f>
        <v>1</v>
      </c>
      <c r="Y6" s="29">
        <f t="shared" si="10"/>
        <v>17.11</v>
      </c>
      <c r="Z6" s="30">
        <f t="shared" si="11"/>
        <v>8.9994</v>
      </c>
      <c r="AA6" s="33">
        <f t="shared" si="12"/>
        <v>59.59797143</v>
      </c>
      <c r="AB6" s="34">
        <v>0.15</v>
      </c>
      <c r="AC6" s="35">
        <f t="shared" si="13"/>
        <v>0.132</v>
      </c>
      <c r="AD6" s="34">
        <v>0.25</v>
      </c>
      <c r="AE6" s="36">
        <v>0.15</v>
      </c>
      <c r="AF6" s="35">
        <f t="shared" si="14"/>
        <v>0.682</v>
      </c>
      <c r="AG6" s="35">
        <f t="shared" si="15"/>
        <v>0.318</v>
      </c>
      <c r="AH6" s="37">
        <f t="shared" si="16"/>
        <v>187.4150045</v>
      </c>
      <c r="AI6" s="38">
        <v>149.99</v>
      </c>
      <c r="AJ6" s="34">
        <v>0.25</v>
      </c>
      <c r="AK6" s="34">
        <v>0.15</v>
      </c>
      <c r="AL6" s="35">
        <f t="shared" si="17"/>
        <v>0.2232720277</v>
      </c>
      <c r="AM6" s="35">
        <f t="shared" si="18"/>
        <v>0.2939257284</v>
      </c>
      <c r="AN6" s="35">
        <f t="shared" si="19"/>
        <v>0.07065370072</v>
      </c>
      <c r="AO6" s="35">
        <f t="shared" si="20"/>
        <v>0.3206537007</v>
      </c>
      <c r="AP6" s="35">
        <f t="shared" si="21"/>
        <v>0.1140742716</v>
      </c>
      <c r="AQ6" s="35">
        <f t="shared" si="22"/>
        <v>0.3164467196</v>
      </c>
    </row>
    <row r="7">
      <c r="A7" s="24" t="s">
        <v>50</v>
      </c>
      <c r="B7" s="25" t="s">
        <v>47</v>
      </c>
      <c r="C7" s="27">
        <v>18.0</v>
      </c>
      <c r="D7" s="27">
        <v>18.5</v>
      </c>
      <c r="E7" s="27">
        <v>8.0</v>
      </c>
      <c r="F7" s="26">
        <v>21.6</v>
      </c>
      <c r="G7" s="28">
        <v>2700.0</v>
      </c>
      <c r="H7" s="26">
        <v>1.0</v>
      </c>
      <c r="I7" s="54">
        <f t="shared" si="1"/>
        <v>1.541666667</v>
      </c>
      <c r="J7" s="30">
        <f t="shared" si="2"/>
        <v>32.14285714</v>
      </c>
      <c r="K7" s="30">
        <f t="shared" si="3"/>
        <v>10.79166667</v>
      </c>
      <c r="L7" s="30">
        <f t="shared" si="4"/>
        <v>6.190714286</v>
      </c>
      <c r="M7" s="30">
        <f t="shared" si="5"/>
        <v>49.1252381</v>
      </c>
      <c r="N7" s="31">
        <f t="shared" si="6"/>
        <v>21.6</v>
      </c>
      <c r="O7" s="31">
        <f t="shared" si="7"/>
        <v>20</v>
      </c>
      <c r="P7" s="31">
        <f t="shared" si="8"/>
        <v>21.6</v>
      </c>
      <c r="Q7" s="32">
        <f>if(P7&lt;1,Cockpit!$H$7,if(P7&lt;20,Cockpit!$H$8,if(P7&lt;50,Cockpit!$H$9,if(P7&lt;70,Cockpit!$H$10,if(P7&lt;150,Cockpit!$H$11,Cockpit!$H$12)))))</f>
        <v>3</v>
      </c>
      <c r="R7" s="32">
        <f>if(MAX(C7:E7)&lt;15,Cockpit!$L$7,if(MAX(C7:E7)&lt;18,Cockpit!$L$8,if(MAX(C7:E7)&lt;59,Cockpit!$L$9,Cockpit!$L$10)))</f>
        <v>3</v>
      </c>
      <c r="S7" s="32">
        <f>if(MEDIAN(C7:E7)&lt;0.12,Cockpit!$L$7,if(MEDIAN(C7:E7)&lt;14,Cockpit!$L$8,if(MEDIAN(C7:E7)&lt;33,Cockpit!$L$9,Cockpit!$L$10)))</f>
        <v>3</v>
      </c>
      <c r="T7" s="32">
        <f>if(MIN(C7:E7)&lt;0.75,Cockpit!$L$7,if(MIN(C7:E7)&lt;8,Cockpit!$L$8,if(MIN(C7:E7)&lt;33,Cockpit!$L$9,Cockpit!$L$10)))</f>
        <v>3</v>
      </c>
      <c r="U7" s="32">
        <f t="shared" si="9"/>
        <v>3</v>
      </c>
      <c r="V7" s="29">
        <f>VLOOKUP($U7,Cockpit!$H$16:$M$22,3, FALSE)</f>
        <v>10.65</v>
      </c>
      <c r="W7" s="29">
        <f>VLOOKUP($U7,Cockpit!$H$16:$M$22,4, FALSE)</f>
        <v>0.38</v>
      </c>
      <c r="X7" s="29">
        <f>VLOOKUP($U7,Cockpit!$H$16:$M$22,5, FALSE)</f>
        <v>1</v>
      </c>
      <c r="Y7" s="29">
        <f t="shared" si="10"/>
        <v>18.478</v>
      </c>
      <c r="Z7" s="30">
        <f t="shared" si="11"/>
        <v>11.94</v>
      </c>
      <c r="AA7" s="33">
        <f t="shared" si="12"/>
        <v>79.5432381</v>
      </c>
      <c r="AB7" s="34">
        <v>0.15</v>
      </c>
      <c r="AC7" s="35">
        <f t="shared" si="13"/>
        <v>0.132</v>
      </c>
      <c r="AD7" s="34">
        <v>0.25</v>
      </c>
      <c r="AE7" s="36">
        <v>0.15</v>
      </c>
      <c r="AF7" s="35">
        <f t="shared" si="14"/>
        <v>0.682</v>
      </c>
      <c r="AG7" s="35">
        <f t="shared" si="15"/>
        <v>0.318</v>
      </c>
      <c r="AH7" s="37">
        <f t="shared" si="16"/>
        <v>250.1359689</v>
      </c>
      <c r="AI7" s="38">
        <v>199.0</v>
      </c>
      <c r="AJ7" s="34">
        <v>0.25</v>
      </c>
      <c r="AK7" s="34">
        <v>0.15</v>
      </c>
      <c r="AL7" s="35">
        <f t="shared" si="17"/>
        <v>0.2468604929</v>
      </c>
      <c r="AM7" s="35">
        <f t="shared" si="18"/>
        <v>0.3151457286</v>
      </c>
      <c r="AN7" s="35">
        <f t="shared" si="19"/>
        <v>0.0682852357</v>
      </c>
      <c r="AO7" s="35">
        <f t="shared" si="20"/>
        <v>0.3182852357</v>
      </c>
      <c r="AP7" s="35">
        <f t="shared" si="21"/>
        <v>0.09285427136</v>
      </c>
      <c r="AQ7" s="35">
        <f t="shared" si="22"/>
        <v>0.2766146777</v>
      </c>
    </row>
    <row r="8">
      <c r="A8" s="24" t="s">
        <v>51</v>
      </c>
      <c r="B8" s="25" t="s">
        <v>47</v>
      </c>
      <c r="C8" s="27">
        <v>18.0</v>
      </c>
      <c r="D8" s="27">
        <v>18.5</v>
      </c>
      <c r="E8" s="27">
        <v>8.0</v>
      </c>
      <c r="F8" s="26">
        <v>21.6</v>
      </c>
      <c r="G8" s="28">
        <v>2700.0</v>
      </c>
      <c r="H8" s="26">
        <v>1.0</v>
      </c>
      <c r="I8" s="54">
        <f t="shared" si="1"/>
        <v>1.541666667</v>
      </c>
      <c r="J8" s="30">
        <f t="shared" si="2"/>
        <v>32.14285714</v>
      </c>
      <c r="K8" s="30">
        <f t="shared" si="3"/>
        <v>10.79166667</v>
      </c>
      <c r="L8" s="30">
        <f t="shared" si="4"/>
        <v>6.190714286</v>
      </c>
      <c r="M8" s="30">
        <f t="shared" si="5"/>
        <v>49.1252381</v>
      </c>
      <c r="N8" s="31">
        <f t="shared" si="6"/>
        <v>21.6</v>
      </c>
      <c r="O8" s="31">
        <f t="shared" si="7"/>
        <v>20</v>
      </c>
      <c r="P8" s="31">
        <f t="shared" si="8"/>
        <v>21.6</v>
      </c>
      <c r="Q8" s="32">
        <f>if(P8&lt;1,Cockpit!$H$7,if(P8&lt;20,Cockpit!$H$8,if(P8&lt;50,Cockpit!$H$9,if(P8&lt;70,Cockpit!$H$10,if(P8&lt;150,Cockpit!$H$11,Cockpit!$H$12)))))</f>
        <v>3</v>
      </c>
      <c r="R8" s="32">
        <f>if(MAX(C8:E8)&lt;15,Cockpit!$L$7,if(MAX(C8:E8)&lt;18,Cockpit!$L$8,if(MAX(C8:E8)&lt;59,Cockpit!$L$9,Cockpit!$L$10)))</f>
        <v>3</v>
      </c>
      <c r="S8" s="32">
        <f>if(MEDIAN(C8:E8)&lt;0.12,Cockpit!$L$7,if(MEDIAN(C8:E8)&lt;14,Cockpit!$L$8,if(MEDIAN(C8:E8)&lt;33,Cockpit!$L$9,Cockpit!$L$10)))</f>
        <v>3</v>
      </c>
      <c r="T8" s="32">
        <f>if(MIN(C8:E8)&lt;0.75,Cockpit!$L$7,if(MIN(C8:E8)&lt;8,Cockpit!$L$8,if(MIN(C8:E8)&lt;33,Cockpit!$L$9,Cockpit!$L$10)))</f>
        <v>3</v>
      </c>
      <c r="U8" s="32">
        <f t="shared" si="9"/>
        <v>3</v>
      </c>
      <c r="V8" s="29">
        <f>VLOOKUP($U8,Cockpit!$H$16:$M$22,3, FALSE)</f>
        <v>10.65</v>
      </c>
      <c r="W8" s="29">
        <f>VLOOKUP($U8,Cockpit!$H$16:$M$22,4, FALSE)</f>
        <v>0.38</v>
      </c>
      <c r="X8" s="29">
        <f>VLOOKUP($U8,Cockpit!$H$16:$M$22,5, FALSE)</f>
        <v>1</v>
      </c>
      <c r="Y8" s="29">
        <f t="shared" si="10"/>
        <v>18.478</v>
      </c>
      <c r="Z8" s="30">
        <f t="shared" si="11"/>
        <v>11.94</v>
      </c>
      <c r="AA8" s="33">
        <f t="shared" si="12"/>
        <v>79.5432381</v>
      </c>
      <c r="AB8" s="34">
        <v>0.15</v>
      </c>
      <c r="AC8" s="35">
        <f t="shared" si="13"/>
        <v>0.132</v>
      </c>
      <c r="AD8" s="34">
        <v>0.25</v>
      </c>
      <c r="AE8" s="36">
        <v>0.15</v>
      </c>
      <c r="AF8" s="35">
        <f t="shared" si="14"/>
        <v>0.682</v>
      </c>
      <c r="AG8" s="35">
        <f t="shared" si="15"/>
        <v>0.318</v>
      </c>
      <c r="AH8" s="37">
        <f t="shared" si="16"/>
        <v>250.1359689</v>
      </c>
      <c r="AI8" s="38">
        <v>199.0</v>
      </c>
      <c r="AJ8" s="34">
        <v>0.25</v>
      </c>
      <c r="AK8" s="34">
        <v>0.15</v>
      </c>
      <c r="AL8" s="35">
        <f t="shared" si="17"/>
        <v>0.2468604929</v>
      </c>
      <c r="AM8" s="35">
        <f t="shared" si="18"/>
        <v>0.3151457286</v>
      </c>
      <c r="AN8" s="35">
        <f t="shared" si="19"/>
        <v>0.0682852357</v>
      </c>
      <c r="AO8" s="35">
        <f t="shared" si="20"/>
        <v>0.3182852357</v>
      </c>
      <c r="AP8" s="35">
        <f t="shared" si="21"/>
        <v>0.09285427136</v>
      </c>
      <c r="AQ8" s="35">
        <f t="shared" si="22"/>
        <v>0.2766146777</v>
      </c>
    </row>
    <row r="9">
      <c r="A9" s="24" t="s">
        <v>52</v>
      </c>
      <c r="B9" s="25" t="s">
        <v>47</v>
      </c>
      <c r="C9" s="27">
        <v>15.5</v>
      </c>
      <c r="D9" s="27">
        <v>13.0</v>
      </c>
      <c r="E9" s="27">
        <v>10.0</v>
      </c>
      <c r="F9" s="26">
        <v>21.2</v>
      </c>
      <c r="G9" s="28">
        <v>1800.0</v>
      </c>
      <c r="H9" s="26">
        <v>1.0</v>
      </c>
      <c r="I9" s="54">
        <f t="shared" si="1"/>
        <v>1.166087963</v>
      </c>
      <c r="J9" s="30">
        <f t="shared" si="2"/>
        <v>21.42857143</v>
      </c>
      <c r="K9" s="30">
        <f t="shared" si="3"/>
        <v>8.162615741</v>
      </c>
      <c r="L9" s="30">
        <f t="shared" si="4"/>
        <v>4.127142857</v>
      </c>
      <c r="M9" s="30">
        <f t="shared" si="5"/>
        <v>33.71833003</v>
      </c>
      <c r="N9" s="31">
        <f t="shared" si="6"/>
        <v>21.2</v>
      </c>
      <c r="O9" s="31">
        <f t="shared" si="7"/>
        <v>15</v>
      </c>
      <c r="P9" s="31">
        <f t="shared" si="8"/>
        <v>21.2</v>
      </c>
      <c r="Q9" s="32">
        <f>if(P9&lt;1,Cockpit!$H$7,if(P9&lt;20,Cockpit!$H$8,if(P9&lt;50,Cockpit!$H$9,if(P9&lt;70,Cockpit!$H$10,if(P9&lt;150,Cockpit!$H$11,Cockpit!$H$12)))))</f>
        <v>3</v>
      </c>
      <c r="R9" s="32">
        <f>if(MAX(C9:E9)&lt;15,Cockpit!$L$7,if(MAX(C9:E9)&lt;18,Cockpit!$L$8,if(MAX(C9:E9)&lt;59,Cockpit!$L$9,Cockpit!$L$10)))</f>
        <v>2</v>
      </c>
      <c r="S9" s="32">
        <f>if(MEDIAN(C9:E9)&lt;0.12,Cockpit!$L$7,if(MEDIAN(C9:E9)&lt;14,Cockpit!$L$8,if(MEDIAN(C9:E9)&lt;33,Cockpit!$L$9,Cockpit!$L$10)))</f>
        <v>2</v>
      </c>
      <c r="T9" s="32">
        <f>if(MIN(C9:E9)&lt;0.75,Cockpit!$L$7,if(MIN(C9:E9)&lt;8,Cockpit!$L$8,if(MIN(C9:E9)&lt;33,Cockpit!$L$9,Cockpit!$L$10)))</f>
        <v>3</v>
      </c>
      <c r="U9" s="32">
        <f t="shared" si="9"/>
        <v>3</v>
      </c>
      <c r="V9" s="29">
        <f>VLOOKUP($U9,Cockpit!$H$16:$M$22,3, FALSE)</f>
        <v>10.65</v>
      </c>
      <c r="W9" s="29">
        <f>VLOOKUP($U9,Cockpit!$H$16:$M$22,4, FALSE)</f>
        <v>0.38</v>
      </c>
      <c r="X9" s="29">
        <f>VLOOKUP($U9,Cockpit!$H$16:$M$22,5, FALSE)</f>
        <v>1</v>
      </c>
      <c r="Y9" s="29">
        <f t="shared" si="10"/>
        <v>18.326</v>
      </c>
      <c r="Z9" s="30">
        <f t="shared" si="11"/>
        <v>8.9994</v>
      </c>
      <c r="AA9" s="33">
        <f t="shared" si="12"/>
        <v>61.04373003</v>
      </c>
      <c r="AB9" s="34">
        <v>0.15</v>
      </c>
      <c r="AC9" s="35">
        <f t="shared" si="13"/>
        <v>0.132</v>
      </c>
      <c r="AD9" s="34">
        <v>0.25</v>
      </c>
      <c r="AE9" s="36">
        <v>0.15</v>
      </c>
      <c r="AF9" s="35">
        <f t="shared" si="14"/>
        <v>0.682</v>
      </c>
      <c r="AG9" s="35">
        <f t="shared" si="15"/>
        <v>0.318</v>
      </c>
      <c r="AH9" s="37">
        <f t="shared" si="16"/>
        <v>191.9614152</v>
      </c>
      <c r="AI9" s="38">
        <v>149.99</v>
      </c>
      <c r="AJ9" s="34">
        <v>0.25</v>
      </c>
      <c r="AK9" s="34">
        <v>0.15</v>
      </c>
      <c r="AL9" s="35">
        <f t="shared" si="17"/>
        <v>0.2248038538</v>
      </c>
      <c r="AM9" s="35">
        <f t="shared" si="18"/>
        <v>0.2858185212</v>
      </c>
      <c r="AN9" s="35">
        <f t="shared" si="19"/>
        <v>0.06101466747</v>
      </c>
      <c r="AO9" s="35">
        <f t="shared" si="20"/>
        <v>0.3110146675</v>
      </c>
      <c r="AP9" s="35">
        <f t="shared" si="21"/>
        <v>0.1221814788</v>
      </c>
      <c r="AQ9" s="35">
        <f t="shared" si="22"/>
        <v>0.2714129071</v>
      </c>
    </row>
    <row r="10">
      <c r="A10" s="24" t="s">
        <v>53</v>
      </c>
      <c r="B10" s="25" t="s">
        <v>47</v>
      </c>
      <c r="C10" s="27">
        <v>24.5</v>
      </c>
      <c r="D10" s="27">
        <v>20.0</v>
      </c>
      <c r="E10" s="27">
        <v>6.5</v>
      </c>
      <c r="F10" s="26">
        <v>21.2</v>
      </c>
      <c r="G10" s="28">
        <v>1980.0</v>
      </c>
      <c r="H10" s="26">
        <v>1.0</v>
      </c>
      <c r="I10" s="54">
        <f t="shared" si="1"/>
        <v>1.843171296</v>
      </c>
      <c r="J10" s="30">
        <f t="shared" si="2"/>
        <v>23.57142857</v>
      </c>
      <c r="K10" s="30">
        <f t="shared" si="3"/>
        <v>12.90219907</v>
      </c>
      <c r="L10" s="30">
        <f t="shared" si="4"/>
        <v>4.539857143</v>
      </c>
      <c r="M10" s="30">
        <f t="shared" si="5"/>
        <v>41.01348479</v>
      </c>
      <c r="N10" s="31">
        <f t="shared" si="6"/>
        <v>21.2</v>
      </c>
      <c r="O10" s="31">
        <f t="shared" si="7"/>
        <v>23</v>
      </c>
      <c r="P10" s="31">
        <f t="shared" si="8"/>
        <v>23</v>
      </c>
      <c r="Q10" s="32">
        <f>if(P10&lt;1,Cockpit!$H$7,if(P10&lt;20,Cockpit!$H$8,if(P10&lt;50,Cockpit!$H$9,if(P10&lt;70,Cockpit!$H$10,if(P10&lt;150,Cockpit!$H$11,Cockpit!$H$12)))))</f>
        <v>3</v>
      </c>
      <c r="R10" s="32">
        <f>if(MAX(C10:E10)&lt;15,Cockpit!$L$7,if(MAX(C10:E10)&lt;18,Cockpit!$L$8,if(MAX(C10:E10)&lt;59,Cockpit!$L$9,Cockpit!$L$10)))</f>
        <v>3</v>
      </c>
      <c r="S10" s="32">
        <f>if(MEDIAN(C10:E10)&lt;0.12,Cockpit!$L$7,if(MEDIAN(C10:E10)&lt;14,Cockpit!$L$8,if(MEDIAN(C10:E10)&lt;33,Cockpit!$L$9,Cockpit!$L$10)))</f>
        <v>3</v>
      </c>
      <c r="T10" s="32">
        <f>if(MIN(C10:E10)&lt;0.75,Cockpit!$L$7,if(MIN(C10:E10)&lt;8,Cockpit!$L$8,if(MIN(C10:E10)&lt;33,Cockpit!$L$9,Cockpit!$L$10)))</f>
        <v>2</v>
      </c>
      <c r="U10" s="32">
        <f t="shared" si="9"/>
        <v>3</v>
      </c>
      <c r="V10" s="29">
        <f>VLOOKUP($U10,Cockpit!$H$16:$M$22,3, FALSE)</f>
        <v>10.65</v>
      </c>
      <c r="W10" s="29">
        <f>VLOOKUP($U10,Cockpit!$H$16:$M$22,4, FALSE)</f>
        <v>0.38</v>
      </c>
      <c r="X10" s="29">
        <f>VLOOKUP($U10,Cockpit!$H$16:$M$22,5, FALSE)</f>
        <v>1</v>
      </c>
      <c r="Y10" s="29">
        <f t="shared" si="10"/>
        <v>19.01</v>
      </c>
      <c r="Z10" s="30">
        <f t="shared" si="11"/>
        <v>9</v>
      </c>
      <c r="AA10" s="33">
        <f t="shared" si="12"/>
        <v>69.02348479</v>
      </c>
      <c r="AB10" s="34">
        <v>0.15</v>
      </c>
      <c r="AC10" s="35">
        <f t="shared" si="13"/>
        <v>0.132</v>
      </c>
      <c r="AD10" s="34">
        <v>0.25</v>
      </c>
      <c r="AE10" s="36">
        <v>0.15</v>
      </c>
      <c r="AF10" s="35">
        <f t="shared" si="14"/>
        <v>0.682</v>
      </c>
      <c r="AG10" s="35">
        <f t="shared" si="15"/>
        <v>0.318</v>
      </c>
      <c r="AH10" s="37">
        <f t="shared" si="16"/>
        <v>217.0549836</v>
      </c>
      <c r="AI10" s="38">
        <v>150.0</v>
      </c>
      <c r="AJ10" s="34">
        <v>0.25</v>
      </c>
      <c r="AK10" s="34">
        <v>0.1</v>
      </c>
      <c r="AL10" s="35">
        <f t="shared" si="17"/>
        <v>0.2734232319</v>
      </c>
      <c r="AM10" s="35">
        <f t="shared" si="18"/>
        <v>0.3312666667</v>
      </c>
      <c r="AN10" s="35">
        <f t="shared" si="19"/>
        <v>0.05784343474</v>
      </c>
      <c r="AO10" s="35">
        <f t="shared" si="20"/>
        <v>0.3078434347</v>
      </c>
      <c r="AP10" s="35">
        <f t="shared" si="21"/>
        <v>0.1267333333</v>
      </c>
      <c r="AQ10" s="35">
        <f t="shared" si="22"/>
        <v>0.2115527431</v>
      </c>
    </row>
    <row r="11">
      <c r="A11" s="55" t="s">
        <v>54</v>
      </c>
      <c r="B11" s="25" t="s">
        <v>47</v>
      </c>
      <c r="C11" s="26">
        <v>14.5</v>
      </c>
      <c r="D11" s="26">
        <v>15.0</v>
      </c>
      <c r="E11" s="26">
        <v>6.5</v>
      </c>
      <c r="F11" s="26">
        <v>8.8</v>
      </c>
      <c r="G11" s="28">
        <v>1200.0</v>
      </c>
      <c r="H11" s="26">
        <v>1.0</v>
      </c>
      <c r="I11" s="54">
        <f t="shared" si="1"/>
        <v>0.8181423611</v>
      </c>
      <c r="J11" s="30">
        <f t="shared" si="2"/>
        <v>14.28571429</v>
      </c>
      <c r="K11" s="30">
        <f t="shared" si="3"/>
        <v>5.726996528</v>
      </c>
      <c r="L11" s="30">
        <f t="shared" si="4"/>
        <v>2.751428571</v>
      </c>
      <c r="M11" s="30">
        <f t="shared" si="5"/>
        <v>22.76413938</v>
      </c>
      <c r="N11" s="31">
        <f t="shared" si="6"/>
        <v>8.8</v>
      </c>
      <c r="O11" s="31">
        <f t="shared" si="7"/>
        <v>11</v>
      </c>
      <c r="P11" s="31">
        <f t="shared" si="8"/>
        <v>11</v>
      </c>
      <c r="Q11" s="32">
        <f>if(P11&lt;1,Cockpit!$H$7,if(P11&lt;20,Cockpit!$H$8,if(P11&lt;50,Cockpit!$H$9,if(P11&lt;70,Cockpit!$H$10,if(P11&lt;150,Cockpit!$H$11,Cockpit!$H$12)))))</f>
        <v>2</v>
      </c>
      <c r="R11" s="32">
        <f>if(MAX(C11:E11)&lt;15,Cockpit!$L$7,if(MAX(C11:E11)&lt;18,Cockpit!$L$8,if(MAX(C11:E11)&lt;59,Cockpit!$L$9,Cockpit!$L$10)))</f>
        <v>2</v>
      </c>
      <c r="S11" s="32">
        <f>if(MEDIAN(C11:E11)&lt;0.12,Cockpit!$L$7,if(MEDIAN(C11:E11)&lt;14,Cockpit!$L$8,if(MEDIAN(C11:E11)&lt;33,Cockpit!$L$9,Cockpit!$L$10)))</f>
        <v>3</v>
      </c>
      <c r="T11" s="32">
        <f>if(MIN(C11:E11)&lt;0.75,Cockpit!$L$7,if(MIN(C11:E11)&lt;8,Cockpit!$L$8,if(MIN(C11:E11)&lt;33,Cockpit!$L$9,Cockpit!$L$10)))</f>
        <v>2</v>
      </c>
      <c r="U11" s="32">
        <f t="shared" si="9"/>
        <v>3</v>
      </c>
      <c r="V11" s="29">
        <f>VLOOKUP($U11,Cockpit!$H$16:$M$22,3, FALSE)</f>
        <v>10.65</v>
      </c>
      <c r="W11" s="29">
        <f>VLOOKUP($U11,Cockpit!$H$16:$M$22,4, FALSE)</f>
        <v>0.38</v>
      </c>
      <c r="X11" s="29">
        <f>VLOOKUP($U11,Cockpit!$H$16:$M$22,5, FALSE)</f>
        <v>1</v>
      </c>
      <c r="Y11" s="29">
        <f t="shared" si="10"/>
        <v>14.45</v>
      </c>
      <c r="Z11" s="30">
        <f t="shared" si="11"/>
        <v>5.9994</v>
      </c>
      <c r="AA11" s="33">
        <f t="shared" si="12"/>
        <v>43.21353938</v>
      </c>
      <c r="AB11" s="34">
        <v>0.15</v>
      </c>
      <c r="AC11" s="35">
        <f t="shared" si="13"/>
        <v>0.132</v>
      </c>
      <c r="AD11" s="34">
        <v>0.25</v>
      </c>
      <c r="AE11" s="36">
        <v>0.15</v>
      </c>
      <c r="AF11" s="35">
        <f t="shared" si="14"/>
        <v>0.682</v>
      </c>
      <c r="AG11" s="35">
        <f t="shared" si="15"/>
        <v>0.318</v>
      </c>
      <c r="AH11" s="37">
        <f t="shared" si="16"/>
        <v>135.8916333</v>
      </c>
      <c r="AI11" s="38">
        <v>99.99</v>
      </c>
      <c r="AJ11" s="34">
        <v>0.25</v>
      </c>
      <c r="AK11" s="34">
        <v>0.15</v>
      </c>
      <c r="AL11" s="35">
        <f t="shared" si="17"/>
        <v>0.2276641603</v>
      </c>
      <c r="AM11" s="35">
        <f t="shared" si="18"/>
        <v>0.2634855486</v>
      </c>
      <c r="AN11" s="35">
        <f t="shared" si="19"/>
        <v>0.03582138829</v>
      </c>
      <c r="AO11" s="35">
        <f t="shared" si="20"/>
        <v>0.2858213883</v>
      </c>
      <c r="AP11" s="35">
        <f t="shared" si="21"/>
        <v>0.1445144514</v>
      </c>
      <c r="AQ11" s="35">
        <f t="shared" si="22"/>
        <v>0.1573431156</v>
      </c>
    </row>
    <row r="12">
      <c r="A12" s="56" t="s">
        <v>55</v>
      </c>
      <c r="B12" s="25" t="s">
        <v>47</v>
      </c>
      <c r="C12" s="27">
        <v>14.5</v>
      </c>
      <c r="D12" s="27">
        <v>14.5</v>
      </c>
      <c r="E12" s="27">
        <v>26.5</v>
      </c>
      <c r="F12" s="26">
        <v>19.0</v>
      </c>
      <c r="G12" s="57">
        <v>1449.84</v>
      </c>
      <c r="H12" s="26">
        <v>1.0</v>
      </c>
      <c r="I12" s="54">
        <f t="shared" si="1"/>
        <v>3.224320023</v>
      </c>
      <c r="J12" s="30">
        <f t="shared" si="2"/>
        <v>17.26</v>
      </c>
      <c r="K12" s="30">
        <f t="shared" si="3"/>
        <v>22.57024016</v>
      </c>
      <c r="L12" s="30">
        <f t="shared" si="4"/>
        <v>3.324276</v>
      </c>
      <c r="M12" s="30">
        <f t="shared" si="5"/>
        <v>43.15451616</v>
      </c>
      <c r="N12" s="31">
        <f t="shared" si="6"/>
        <v>19</v>
      </c>
      <c r="O12" s="31">
        <f t="shared" si="7"/>
        <v>41</v>
      </c>
      <c r="P12" s="31">
        <f t="shared" si="8"/>
        <v>41</v>
      </c>
      <c r="Q12" s="32">
        <f>if(P12&lt;1,Cockpit!$H$7,if(P12&lt;20,Cockpit!$H$8,if(P12&lt;50,Cockpit!$H$9,if(P12&lt;70,Cockpit!$H$10,if(P12&lt;150,Cockpit!$H$11,Cockpit!$H$12)))))</f>
        <v>3</v>
      </c>
      <c r="R12" s="32">
        <f>if(MAX(C12:E12)&lt;15,Cockpit!$L$7,if(MAX(C12:E12)&lt;18,Cockpit!$L$8,if(MAX(C12:E12)&lt;59,Cockpit!$L$9,Cockpit!$L$10)))</f>
        <v>3</v>
      </c>
      <c r="S12" s="32">
        <f>if(MEDIAN(C12:E12)&lt;0.12,Cockpit!$L$7,if(MEDIAN(C12:E12)&lt;14,Cockpit!$L$8,if(MEDIAN(C12:E12)&lt;33,Cockpit!$L$9,Cockpit!$L$10)))</f>
        <v>3</v>
      </c>
      <c r="T12" s="32">
        <f>if(MIN(C12:E12)&lt;0.75,Cockpit!$L$7,if(MIN(C12:E12)&lt;8,Cockpit!$L$8,if(MIN(C12:E12)&lt;33,Cockpit!$L$9,Cockpit!$L$10)))</f>
        <v>3</v>
      </c>
      <c r="U12" s="32">
        <f t="shared" si="9"/>
        <v>3</v>
      </c>
      <c r="V12" s="29">
        <f>VLOOKUP($U12,Cockpit!$H$16:$M$22,3, FALSE)</f>
        <v>10.65</v>
      </c>
      <c r="W12" s="29">
        <f>VLOOKUP($U12,Cockpit!$H$16:$M$22,4, FALSE)</f>
        <v>0.38</v>
      </c>
      <c r="X12" s="29">
        <f>VLOOKUP($U12,Cockpit!$H$16:$M$22,5, FALSE)</f>
        <v>1</v>
      </c>
      <c r="Y12" s="29">
        <f t="shared" si="10"/>
        <v>25.85</v>
      </c>
      <c r="Z12" s="30">
        <f t="shared" si="11"/>
        <v>8.9994</v>
      </c>
      <c r="AA12" s="33">
        <f t="shared" si="12"/>
        <v>78.00391616</v>
      </c>
      <c r="AB12" s="34">
        <v>0.15</v>
      </c>
      <c r="AC12" s="35">
        <f t="shared" si="13"/>
        <v>0.132</v>
      </c>
      <c r="AD12" s="34">
        <v>0.25</v>
      </c>
      <c r="AE12" s="36">
        <v>0.15</v>
      </c>
      <c r="AF12" s="35">
        <f t="shared" si="14"/>
        <v>0.682</v>
      </c>
      <c r="AG12" s="35">
        <f t="shared" si="15"/>
        <v>0.318</v>
      </c>
      <c r="AH12" s="37">
        <f t="shared" si="16"/>
        <v>245.2953338</v>
      </c>
      <c r="AI12" s="38">
        <v>149.99</v>
      </c>
      <c r="AJ12" s="34">
        <v>0.15</v>
      </c>
      <c r="AK12" s="34">
        <v>0.15</v>
      </c>
      <c r="AL12" s="35">
        <f t="shared" si="17"/>
        <v>0.2877159555</v>
      </c>
      <c r="AM12" s="35">
        <f t="shared" si="18"/>
        <v>0.335655177</v>
      </c>
      <c r="AN12" s="35">
        <f t="shared" si="19"/>
        <v>0.04793922153</v>
      </c>
      <c r="AO12" s="35">
        <f t="shared" si="20"/>
        <v>0.1979392215</v>
      </c>
      <c r="AP12" s="35">
        <f t="shared" si="21"/>
        <v>0.172344823</v>
      </c>
      <c r="AQ12" s="35">
        <f t="shared" si="22"/>
        <v>0.1666199619</v>
      </c>
    </row>
    <row r="13">
      <c r="A13" s="56" t="s">
        <v>56</v>
      </c>
      <c r="B13" s="25" t="s">
        <v>47</v>
      </c>
      <c r="C13" s="27">
        <v>14.0</v>
      </c>
      <c r="D13" s="27">
        <v>14.0</v>
      </c>
      <c r="E13" s="27">
        <v>26.0</v>
      </c>
      <c r="F13" s="26">
        <v>11.9</v>
      </c>
      <c r="G13" s="57">
        <v>1249.92</v>
      </c>
      <c r="H13" s="26">
        <v>1.0</v>
      </c>
      <c r="I13" s="54">
        <f t="shared" si="1"/>
        <v>2.949074074</v>
      </c>
      <c r="J13" s="30">
        <f t="shared" si="2"/>
        <v>14.88</v>
      </c>
      <c r="K13" s="30">
        <f t="shared" si="3"/>
        <v>20.64351852</v>
      </c>
      <c r="L13" s="30">
        <f t="shared" si="4"/>
        <v>2.865888</v>
      </c>
      <c r="M13" s="30">
        <f t="shared" si="5"/>
        <v>38.38940652</v>
      </c>
      <c r="N13" s="31">
        <f t="shared" si="6"/>
        <v>11.9</v>
      </c>
      <c r="O13" s="31">
        <f t="shared" si="7"/>
        <v>37</v>
      </c>
      <c r="P13" s="31">
        <f t="shared" si="8"/>
        <v>37</v>
      </c>
      <c r="Q13" s="32">
        <f>if(P13&lt;1,Cockpit!$H$7,if(P13&lt;20,Cockpit!$H$8,if(P13&lt;50,Cockpit!$H$9,if(P13&lt;70,Cockpit!$H$10,if(P13&lt;150,Cockpit!$H$11,Cockpit!$H$12)))))</f>
        <v>3</v>
      </c>
      <c r="R13" s="32">
        <f>if(MAX(C13:E13)&lt;15,Cockpit!$L$7,if(MAX(C13:E13)&lt;18,Cockpit!$L$8,if(MAX(C13:E13)&lt;59,Cockpit!$L$9,Cockpit!$L$10)))</f>
        <v>3</v>
      </c>
      <c r="S13" s="32">
        <f>if(MEDIAN(C13:E13)&lt;0.12,Cockpit!$L$7,if(MEDIAN(C13:E13)&lt;14,Cockpit!$L$8,if(MEDIAN(C13:E13)&lt;33,Cockpit!$L$9,Cockpit!$L$10)))</f>
        <v>3</v>
      </c>
      <c r="T13" s="32">
        <f>if(MIN(C13:E13)&lt;0.75,Cockpit!$L$7,if(MIN(C13:E13)&lt;8,Cockpit!$L$8,if(MIN(C13:E13)&lt;33,Cockpit!$L$9,Cockpit!$L$10)))</f>
        <v>3</v>
      </c>
      <c r="U13" s="32">
        <f t="shared" si="9"/>
        <v>3</v>
      </c>
      <c r="V13" s="29">
        <f>VLOOKUP($U13,Cockpit!$H$16:$M$22,3, FALSE)</f>
        <v>10.65</v>
      </c>
      <c r="W13" s="29">
        <f>VLOOKUP($U13,Cockpit!$H$16:$M$22,4, FALSE)</f>
        <v>0.38</v>
      </c>
      <c r="X13" s="29">
        <f>VLOOKUP($U13,Cockpit!$H$16:$M$22,5, FALSE)</f>
        <v>1</v>
      </c>
      <c r="Y13" s="29">
        <f t="shared" si="10"/>
        <v>24.33</v>
      </c>
      <c r="Z13" s="30">
        <f t="shared" si="11"/>
        <v>8.3994</v>
      </c>
      <c r="AA13" s="33">
        <f t="shared" si="12"/>
        <v>71.11880652</v>
      </c>
      <c r="AB13" s="34">
        <v>0.15</v>
      </c>
      <c r="AC13" s="35">
        <f t="shared" si="13"/>
        <v>0.132</v>
      </c>
      <c r="AD13" s="34">
        <v>0.25</v>
      </c>
      <c r="AE13" s="36">
        <v>0.15</v>
      </c>
      <c r="AF13" s="35">
        <f t="shared" si="14"/>
        <v>0.682</v>
      </c>
      <c r="AG13" s="35">
        <f t="shared" si="15"/>
        <v>0.318</v>
      </c>
      <c r="AH13" s="37">
        <f t="shared" si="16"/>
        <v>223.6440457</v>
      </c>
      <c r="AI13" s="38">
        <v>139.99</v>
      </c>
      <c r="AJ13" s="34">
        <v>0.15</v>
      </c>
      <c r="AK13" s="34">
        <v>0.15</v>
      </c>
      <c r="AL13" s="35">
        <f t="shared" si="17"/>
        <v>0.2742296344</v>
      </c>
      <c r="AM13" s="35">
        <f t="shared" si="18"/>
        <v>0.3342018716</v>
      </c>
      <c r="AN13" s="35">
        <f t="shared" si="19"/>
        <v>0.05997223717</v>
      </c>
      <c r="AO13" s="35">
        <f t="shared" si="20"/>
        <v>0.2099722372</v>
      </c>
      <c r="AP13" s="35">
        <f t="shared" si="21"/>
        <v>0.1737981284</v>
      </c>
      <c r="AQ13" s="35">
        <f t="shared" si="22"/>
        <v>0.218693495</v>
      </c>
    </row>
    <row r="14">
      <c r="A14" s="58" t="s">
        <v>57</v>
      </c>
      <c r="B14" s="25" t="s">
        <v>58</v>
      </c>
      <c r="C14" s="26">
        <v>14.5</v>
      </c>
      <c r="D14" s="26">
        <v>14.5</v>
      </c>
      <c r="E14" s="26">
        <v>7.5</v>
      </c>
      <c r="F14" s="26">
        <v>10.4</v>
      </c>
      <c r="G14" s="53">
        <v>1250.0</v>
      </c>
      <c r="H14" s="26">
        <v>1.0</v>
      </c>
      <c r="I14" s="54">
        <f t="shared" si="1"/>
        <v>0.9125434028</v>
      </c>
      <c r="J14" s="30">
        <f t="shared" si="2"/>
        <v>14.88095238</v>
      </c>
      <c r="K14" s="30">
        <f t="shared" si="3"/>
        <v>6.387803819</v>
      </c>
      <c r="L14" s="30">
        <f t="shared" si="4"/>
        <v>2.866071429</v>
      </c>
      <c r="M14" s="30">
        <f t="shared" si="5"/>
        <v>24.13482763</v>
      </c>
      <c r="N14" s="31">
        <f t="shared" si="6"/>
        <v>10.4</v>
      </c>
      <c r="O14" s="31">
        <f t="shared" si="7"/>
        <v>12</v>
      </c>
      <c r="P14" s="31">
        <f t="shared" si="8"/>
        <v>12</v>
      </c>
      <c r="Q14" s="32">
        <f>if(P14&lt;1,Cockpit!$H$7,if(P14&lt;20,Cockpit!$H$8,if(P14&lt;50,Cockpit!$H$9,if(P14&lt;70,Cockpit!$H$10,if(P14&lt;150,Cockpit!$H$11,Cockpit!$H$12)))))</f>
        <v>2</v>
      </c>
      <c r="R14" s="32">
        <f>if(MAX(C14:E14)&lt;15,Cockpit!$L$7,if(MAX(C14:E14)&lt;18,Cockpit!$L$8,if(MAX(C14:E14)&lt;59,Cockpit!$L$9,Cockpit!$L$10)))</f>
        <v>1</v>
      </c>
      <c r="S14" s="32">
        <f>if(MEDIAN(C14:E14)&lt;0.12,Cockpit!$L$7,if(MEDIAN(C14:E14)&lt;14,Cockpit!$L$8,if(MEDIAN(C14:E14)&lt;33,Cockpit!$L$9,Cockpit!$L$10)))</f>
        <v>3</v>
      </c>
      <c r="T14" s="32">
        <f>if(MIN(C14:E14)&lt;0.75,Cockpit!$L$7,if(MIN(C14:E14)&lt;8,Cockpit!$L$8,if(MIN(C14:E14)&lt;33,Cockpit!$L$9,Cockpit!$L$10)))</f>
        <v>2</v>
      </c>
      <c r="U14" s="32">
        <f t="shared" si="9"/>
        <v>3</v>
      </c>
      <c r="V14" s="29">
        <f>VLOOKUP($U14,Cockpit!$H$16:$M$22,3, FALSE)</f>
        <v>10.65</v>
      </c>
      <c r="W14" s="29">
        <f>VLOOKUP($U14,Cockpit!$H$16:$M$22,4, FALSE)</f>
        <v>0.38</v>
      </c>
      <c r="X14" s="29">
        <f>VLOOKUP($U14,Cockpit!$H$16:$M$22,5, FALSE)</f>
        <v>1</v>
      </c>
      <c r="Y14" s="29">
        <f t="shared" si="10"/>
        <v>14.83</v>
      </c>
      <c r="Z14" s="30">
        <f t="shared" si="11"/>
        <v>4.1994</v>
      </c>
      <c r="AA14" s="33">
        <f t="shared" si="12"/>
        <v>43.16422763</v>
      </c>
      <c r="AB14" s="34">
        <v>0.15</v>
      </c>
      <c r="AC14" s="35">
        <f t="shared" si="13"/>
        <v>0.132</v>
      </c>
      <c r="AD14" s="34">
        <v>0.25</v>
      </c>
      <c r="AE14" s="36">
        <v>0.15</v>
      </c>
      <c r="AF14" s="35">
        <f t="shared" si="14"/>
        <v>0.682</v>
      </c>
      <c r="AG14" s="35">
        <f t="shared" si="15"/>
        <v>0.318</v>
      </c>
      <c r="AH14" s="37">
        <f t="shared" si="16"/>
        <v>135.7365649</v>
      </c>
      <c r="AI14" s="38">
        <v>69.99</v>
      </c>
      <c r="AJ14" s="34">
        <v>0.25</v>
      </c>
      <c r="AK14" s="34">
        <v>0.1</v>
      </c>
      <c r="AL14" s="35">
        <f t="shared" si="17"/>
        <v>0.3448325136</v>
      </c>
      <c r="AM14" s="35">
        <f t="shared" si="18"/>
        <v>0.2461125875</v>
      </c>
      <c r="AN14" s="35">
        <f t="shared" si="19"/>
        <v>-0.09871992612</v>
      </c>
      <c r="AO14" s="35">
        <f t="shared" si="20"/>
        <v>0.1512800739</v>
      </c>
      <c r="AP14" s="35">
        <f t="shared" si="21"/>
        <v>0.2118874125</v>
      </c>
      <c r="AQ14" s="35">
        <f t="shared" si="22"/>
        <v>-0.2862836949</v>
      </c>
    </row>
    <row r="15">
      <c r="A15" s="59" t="s">
        <v>59</v>
      </c>
      <c r="B15" s="25"/>
      <c r="C15" s="27">
        <v>24.0</v>
      </c>
      <c r="D15" s="27">
        <v>20.5</v>
      </c>
      <c r="E15" s="27">
        <v>6.5</v>
      </c>
      <c r="F15" s="27">
        <v>18.0779</v>
      </c>
      <c r="G15" s="28">
        <f>2500*0.65</f>
        <v>1625</v>
      </c>
      <c r="H15" s="26">
        <v>1.0</v>
      </c>
      <c r="I15" s="54">
        <f t="shared" si="1"/>
        <v>1.850694444</v>
      </c>
      <c r="J15" s="30">
        <f t="shared" si="2"/>
        <v>19.3452381</v>
      </c>
      <c r="K15" s="30">
        <f t="shared" si="3"/>
        <v>12.95486111</v>
      </c>
      <c r="L15" s="30">
        <f t="shared" si="4"/>
        <v>3.725892857</v>
      </c>
      <c r="M15" s="30">
        <f t="shared" si="5"/>
        <v>36.02599206</v>
      </c>
      <c r="N15" s="31">
        <f t="shared" si="6"/>
        <v>18.0779</v>
      </c>
      <c r="O15" s="31">
        <f t="shared" si="7"/>
        <v>24</v>
      </c>
      <c r="P15" s="31">
        <f t="shared" si="8"/>
        <v>24</v>
      </c>
      <c r="Q15" s="32">
        <f>if(P15&lt;1,Cockpit!$H$7,if(P15&lt;20,Cockpit!$H$8,if(P15&lt;50,Cockpit!$H$9,if(P15&lt;70,Cockpit!$H$10,if(P15&lt;150,Cockpit!$H$11,Cockpit!$H$12)))))</f>
        <v>3</v>
      </c>
      <c r="R15" s="32">
        <f>if(MAX(C15:E15)&lt;15,Cockpit!$L$7,if(MAX(C15:E15)&lt;18,Cockpit!$L$8,if(MAX(C15:E15)&lt;59,Cockpit!$L$9,Cockpit!$L$10)))</f>
        <v>3</v>
      </c>
      <c r="S15" s="32">
        <f>if(MEDIAN(C15:E15)&lt;0.12,Cockpit!$L$7,if(MEDIAN(C15:E15)&lt;14,Cockpit!$L$8,if(MEDIAN(C15:E15)&lt;33,Cockpit!$L$9,Cockpit!$L$10)))</f>
        <v>3</v>
      </c>
      <c r="T15" s="32">
        <f>if(MIN(C15:E15)&lt;0.75,Cockpit!$L$7,if(MIN(C15:E15)&lt;8,Cockpit!$L$8,if(MIN(C15:E15)&lt;33,Cockpit!$L$9,Cockpit!$L$10)))</f>
        <v>2</v>
      </c>
      <c r="U15" s="32">
        <f t="shared" si="9"/>
        <v>3</v>
      </c>
      <c r="V15" s="29">
        <f>VLOOKUP($U15,Cockpit!$H$16:$M$22,3, FALSE)</f>
        <v>10.65</v>
      </c>
      <c r="W15" s="29">
        <f>VLOOKUP($U15,Cockpit!$H$16:$M$22,4, FALSE)</f>
        <v>0.38</v>
      </c>
      <c r="X15" s="29">
        <f>VLOOKUP($U15,Cockpit!$H$16:$M$22,5, FALSE)</f>
        <v>1</v>
      </c>
      <c r="Y15" s="29">
        <f t="shared" si="10"/>
        <v>19.39</v>
      </c>
      <c r="Z15" s="30">
        <f t="shared" si="11"/>
        <v>8.9994</v>
      </c>
      <c r="AA15" s="33">
        <f t="shared" si="12"/>
        <v>64.41539206</v>
      </c>
      <c r="AB15" s="34">
        <v>0.15</v>
      </c>
      <c r="AC15" s="35">
        <f t="shared" si="13"/>
        <v>0.132</v>
      </c>
      <c r="AD15" s="34">
        <v>0.25</v>
      </c>
      <c r="AE15" s="36">
        <v>0.15</v>
      </c>
      <c r="AF15" s="35">
        <f t="shared" si="14"/>
        <v>0.682</v>
      </c>
      <c r="AG15" s="35">
        <f t="shared" si="15"/>
        <v>0.318</v>
      </c>
      <c r="AH15" s="37">
        <f t="shared" si="16"/>
        <v>202.564126</v>
      </c>
      <c r="AI15" s="38">
        <v>149.99</v>
      </c>
      <c r="AJ15" s="34">
        <v>0.25</v>
      </c>
      <c r="AK15" s="34">
        <v>0.15</v>
      </c>
      <c r="AL15" s="35">
        <f t="shared" si="17"/>
        <v>0.240189293</v>
      </c>
      <c r="AM15" s="35">
        <f t="shared" si="18"/>
        <v>0.278724715</v>
      </c>
      <c r="AN15" s="35">
        <f t="shared" si="19"/>
        <v>0.03853542194</v>
      </c>
      <c r="AO15" s="35">
        <f t="shared" si="20"/>
        <v>0.2885354219</v>
      </c>
      <c r="AP15" s="35">
        <f t="shared" si="21"/>
        <v>0.129275285</v>
      </c>
      <c r="AQ15" s="35">
        <f t="shared" si="22"/>
        <v>0.1604377175</v>
      </c>
    </row>
    <row r="16">
      <c r="A16" s="58" t="s">
        <v>60</v>
      </c>
      <c r="B16" s="25" t="s">
        <v>58</v>
      </c>
      <c r="C16" s="26">
        <v>14.5</v>
      </c>
      <c r="D16" s="26">
        <v>15.0</v>
      </c>
      <c r="E16" s="26">
        <v>5.5</v>
      </c>
      <c r="F16" s="26">
        <v>7.7</v>
      </c>
      <c r="G16" s="53">
        <v>1150.0</v>
      </c>
      <c r="H16" s="26">
        <v>1.0</v>
      </c>
      <c r="I16" s="54">
        <f t="shared" si="1"/>
        <v>0.6922743056</v>
      </c>
      <c r="J16" s="30">
        <f t="shared" si="2"/>
        <v>13.69047619</v>
      </c>
      <c r="K16" s="30">
        <f t="shared" si="3"/>
        <v>4.845920139</v>
      </c>
      <c r="L16" s="30">
        <f t="shared" si="4"/>
        <v>2.636785714</v>
      </c>
      <c r="M16" s="30">
        <f t="shared" si="5"/>
        <v>21.17318204</v>
      </c>
      <c r="N16" s="31">
        <f t="shared" si="6"/>
        <v>7.7</v>
      </c>
      <c r="O16" s="31">
        <f t="shared" si="7"/>
        <v>9</v>
      </c>
      <c r="P16" s="31">
        <f t="shared" si="8"/>
        <v>9</v>
      </c>
      <c r="Q16" s="32">
        <f>if(P16&lt;1,Cockpit!$H$7,if(P16&lt;20,Cockpit!$H$8,if(P16&lt;50,Cockpit!$H$9,if(P16&lt;70,Cockpit!$H$10,if(P16&lt;150,Cockpit!$H$11,Cockpit!$H$12)))))</f>
        <v>2</v>
      </c>
      <c r="R16" s="32">
        <f>if(MAX(C16:E16)&lt;15,Cockpit!$L$7,if(MAX(C16:E16)&lt;18,Cockpit!$L$8,if(MAX(C16:E16)&lt;59,Cockpit!$L$9,Cockpit!$L$10)))</f>
        <v>2</v>
      </c>
      <c r="S16" s="32">
        <f>if(MEDIAN(C16:E16)&lt;0.12,Cockpit!$L$7,if(MEDIAN(C16:E16)&lt;14,Cockpit!$L$8,if(MEDIAN(C16:E16)&lt;33,Cockpit!$L$9,Cockpit!$L$10)))</f>
        <v>3</v>
      </c>
      <c r="T16" s="32">
        <f>if(MIN(C16:E16)&lt;0.75,Cockpit!$L$7,if(MIN(C16:E16)&lt;8,Cockpit!$L$8,if(MIN(C16:E16)&lt;33,Cockpit!$L$9,Cockpit!$L$10)))</f>
        <v>2</v>
      </c>
      <c r="U16" s="32">
        <f t="shared" si="9"/>
        <v>3</v>
      </c>
      <c r="V16" s="29">
        <f>VLOOKUP($U16,Cockpit!$H$16:$M$22,3, FALSE)</f>
        <v>10.65</v>
      </c>
      <c r="W16" s="29">
        <f>VLOOKUP($U16,Cockpit!$H$16:$M$22,4, FALSE)</f>
        <v>0.38</v>
      </c>
      <c r="X16" s="29">
        <f>VLOOKUP($U16,Cockpit!$H$16:$M$22,5, FALSE)</f>
        <v>1</v>
      </c>
      <c r="Y16" s="29">
        <f t="shared" si="10"/>
        <v>13.69</v>
      </c>
      <c r="Z16" s="30">
        <f t="shared" si="11"/>
        <v>3.5994</v>
      </c>
      <c r="AA16" s="33">
        <f t="shared" si="12"/>
        <v>38.46258204</v>
      </c>
      <c r="AB16" s="34">
        <v>0.15</v>
      </c>
      <c r="AC16" s="35">
        <f t="shared" si="13"/>
        <v>0.132</v>
      </c>
      <c r="AD16" s="34">
        <v>0.25</v>
      </c>
      <c r="AE16" s="36">
        <v>0.15</v>
      </c>
      <c r="AF16" s="35">
        <f t="shared" si="14"/>
        <v>0.682</v>
      </c>
      <c r="AG16" s="35">
        <f t="shared" si="15"/>
        <v>0.318</v>
      </c>
      <c r="AH16" s="37">
        <f t="shared" si="16"/>
        <v>120.9515159</v>
      </c>
      <c r="AI16" s="38">
        <v>59.99</v>
      </c>
      <c r="AJ16" s="34">
        <v>0.25</v>
      </c>
      <c r="AK16" s="34">
        <v>0.1</v>
      </c>
      <c r="AL16" s="35">
        <f t="shared" si="17"/>
        <v>0.3529451916</v>
      </c>
      <c r="AM16" s="35">
        <f t="shared" si="18"/>
        <v>0.2297952992</v>
      </c>
      <c r="AN16" s="35">
        <f t="shared" si="19"/>
        <v>-0.1231498924</v>
      </c>
      <c r="AO16" s="35">
        <f t="shared" si="20"/>
        <v>0.1268501076</v>
      </c>
      <c r="AP16" s="35">
        <f t="shared" si="21"/>
        <v>0.2282047008</v>
      </c>
      <c r="AQ16" s="35">
        <f t="shared" si="22"/>
        <v>-0.3489207257</v>
      </c>
    </row>
    <row r="17">
      <c r="A17" s="58" t="s">
        <v>61</v>
      </c>
      <c r="B17" s="25" t="s">
        <v>58</v>
      </c>
      <c r="C17" s="26">
        <v>14.5</v>
      </c>
      <c r="D17" s="26">
        <v>15.0</v>
      </c>
      <c r="E17" s="26">
        <v>5.5</v>
      </c>
      <c r="F17" s="26">
        <v>7.7</v>
      </c>
      <c r="G17" s="53">
        <v>1150.0</v>
      </c>
      <c r="H17" s="26">
        <v>1.0</v>
      </c>
      <c r="I17" s="54">
        <f t="shared" si="1"/>
        <v>0.6922743056</v>
      </c>
      <c r="J17" s="30">
        <f t="shared" si="2"/>
        <v>13.69047619</v>
      </c>
      <c r="K17" s="30">
        <f t="shared" si="3"/>
        <v>4.845920139</v>
      </c>
      <c r="L17" s="30">
        <f t="shared" si="4"/>
        <v>2.636785714</v>
      </c>
      <c r="M17" s="30">
        <f t="shared" si="5"/>
        <v>21.17318204</v>
      </c>
      <c r="N17" s="31">
        <f t="shared" si="6"/>
        <v>7.7</v>
      </c>
      <c r="O17" s="31">
        <f t="shared" si="7"/>
        <v>9</v>
      </c>
      <c r="P17" s="31">
        <f t="shared" si="8"/>
        <v>9</v>
      </c>
      <c r="Q17" s="32">
        <f>if(P17&lt;1,Cockpit!$H$7,if(P17&lt;20,Cockpit!$H$8,if(P17&lt;50,Cockpit!$H$9,if(P17&lt;70,Cockpit!$H$10,if(P17&lt;150,Cockpit!$H$11,Cockpit!$H$12)))))</f>
        <v>2</v>
      </c>
      <c r="R17" s="32">
        <f>if(MAX(C17:E17)&lt;15,Cockpit!$L$7,if(MAX(C17:E17)&lt;18,Cockpit!$L$8,if(MAX(C17:E17)&lt;59,Cockpit!$L$9,Cockpit!$L$10)))</f>
        <v>2</v>
      </c>
      <c r="S17" s="32">
        <f>if(MEDIAN(C17:E17)&lt;0.12,Cockpit!$L$7,if(MEDIAN(C17:E17)&lt;14,Cockpit!$L$8,if(MEDIAN(C17:E17)&lt;33,Cockpit!$L$9,Cockpit!$L$10)))</f>
        <v>3</v>
      </c>
      <c r="T17" s="32">
        <f>if(MIN(C17:E17)&lt;0.75,Cockpit!$L$7,if(MIN(C17:E17)&lt;8,Cockpit!$L$8,if(MIN(C17:E17)&lt;33,Cockpit!$L$9,Cockpit!$L$10)))</f>
        <v>2</v>
      </c>
      <c r="U17" s="32">
        <f t="shared" si="9"/>
        <v>3</v>
      </c>
      <c r="V17" s="29">
        <f>VLOOKUP($U17,Cockpit!$H$16:$M$22,3, FALSE)</f>
        <v>10.65</v>
      </c>
      <c r="W17" s="29">
        <f>VLOOKUP($U17,Cockpit!$H$16:$M$22,4, FALSE)</f>
        <v>0.38</v>
      </c>
      <c r="X17" s="29">
        <f>VLOOKUP($U17,Cockpit!$H$16:$M$22,5, FALSE)</f>
        <v>1</v>
      </c>
      <c r="Y17" s="29">
        <f t="shared" si="10"/>
        <v>13.69</v>
      </c>
      <c r="Z17" s="30">
        <f t="shared" si="11"/>
        <v>3.5994</v>
      </c>
      <c r="AA17" s="33">
        <f t="shared" si="12"/>
        <v>38.46258204</v>
      </c>
      <c r="AB17" s="34">
        <v>0.15</v>
      </c>
      <c r="AC17" s="35">
        <f t="shared" si="13"/>
        <v>0.132</v>
      </c>
      <c r="AD17" s="34">
        <v>0.25</v>
      </c>
      <c r="AE17" s="36">
        <v>0.15</v>
      </c>
      <c r="AF17" s="35">
        <f t="shared" si="14"/>
        <v>0.682</v>
      </c>
      <c r="AG17" s="35">
        <f t="shared" si="15"/>
        <v>0.318</v>
      </c>
      <c r="AH17" s="37">
        <f t="shared" si="16"/>
        <v>120.9515159</v>
      </c>
      <c r="AI17" s="38">
        <v>59.99</v>
      </c>
      <c r="AJ17" s="34">
        <v>0.25</v>
      </c>
      <c r="AK17" s="34">
        <v>0.1</v>
      </c>
      <c r="AL17" s="35">
        <f t="shared" si="17"/>
        <v>0.3529451916</v>
      </c>
      <c r="AM17" s="35">
        <f t="shared" si="18"/>
        <v>0.2297952992</v>
      </c>
      <c r="AN17" s="35">
        <f t="shared" si="19"/>
        <v>-0.1231498924</v>
      </c>
      <c r="AO17" s="35">
        <f t="shared" si="20"/>
        <v>0.1268501076</v>
      </c>
      <c r="AP17" s="35">
        <f t="shared" si="21"/>
        <v>0.2282047008</v>
      </c>
      <c r="AQ17" s="35">
        <f t="shared" si="22"/>
        <v>-0.3489207257</v>
      </c>
    </row>
    <row r="18">
      <c r="A18" s="60" t="s">
        <v>62</v>
      </c>
      <c r="B18" s="25" t="s">
        <v>58</v>
      </c>
      <c r="C18" s="26">
        <v>26.0</v>
      </c>
      <c r="D18" s="26">
        <v>18.0</v>
      </c>
      <c r="E18" s="26">
        <v>5.5</v>
      </c>
      <c r="F18" s="26">
        <v>20.3</v>
      </c>
      <c r="G18" s="53">
        <v>1200.0</v>
      </c>
      <c r="H18" s="26">
        <v>1.0</v>
      </c>
      <c r="I18" s="54">
        <f t="shared" si="1"/>
        <v>1.489583333</v>
      </c>
      <c r="J18" s="30">
        <f t="shared" si="2"/>
        <v>14.28571429</v>
      </c>
      <c r="K18" s="30">
        <f t="shared" si="3"/>
        <v>10.42708333</v>
      </c>
      <c r="L18" s="30">
        <f t="shared" si="4"/>
        <v>2.751428571</v>
      </c>
      <c r="M18" s="30">
        <f t="shared" si="5"/>
        <v>27.46422619</v>
      </c>
      <c r="N18" s="31">
        <f t="shared" si="6"/>
        <v>20.3</v>
      </c>
      <c r="O18" s="31">
        <f t="shared" si="7"/>
        <v>19</v>
      </c>
      <c r="P18" s="31">
        <f t="shared" si="8"/>
        <v>20.3</v>
      </c>
      <c r="Q18" s="32">
        <f>if(P18&lt;1,Cockpit!$H$7,if(P18&lt;20,Cockpit!$H$8,if(P18&lt;50,Cockpit!$H$9,if(P18&lt;70,Cockpit!$H$10,if(P18&lt;150,Cockpit!$H$11,Cockpit!$H$12)))))</f>
        <v>3</v>
      </c>
      <c r="R18" s="32">
        <f>if(MAX(C18:E18)&lt;15,Cockpit!$L$7,if(MAX(C18:E18)&lt;18,Cockpit!$L$8,if(MAX(C18:E18)&lt;59,Cockpit!$L$9,Cockpit!$L$10)))</f>
        <v>3</v>
      </c>
      <c r="S18" s="32">
        <f>if(MEDIAN(C18:E18)&lt;0.12,Cockpit!$L$7,if(MEDIAN(C18:E18)&lt;14,Cockpit!$L$8,if(MEDIAN(C18:E18)&lt;33,Cockpit!$L$9,Cockpit!$L$10)))</f>
        <v>3</v>
      </c>
      <c r="T18" s="32">
        <f>if(MIN(C18:E18)&lt;0.75,Cockpit!$L$7,if(MIN(C18:E18)&lt;8,Cockpit!$L$8,if(MIN(C18:E18)&lt;33,Cockpit!$L$9,Cockpit!$L$10)))</f>
        <v>2</v>
      </c>
      <c r="U18" s="32">
        <f t="shared" si="9"/>
        <v>3</v>
      </c>
      <c r="V18" s="29">
        <f>VLOOKUP($U18,Cockpit!$H$16:$M$22,3, FALSE)</f>
        <v>10.65</v>
      </c>
      <c r="W18" s="29">
        <f>VLOOKUP($U18,Cockpit!$H$16:$M$22,4, FALSE)</f>
        <v>0.38</v>
      </c>
      <c r="X18" s="29">
        <f>VLOOKUP($U18,Cockpit!$H$16:$M$22,5, FALSE)</f>
        <v>1</v>
      </c>
      <c r="Y18" s="29">
        <f t="shared" si="10"/>
        <v>17.984</v>
      </c>
      <c r="Z18" s="30">
        <f t="shared" si="11"/>
        <v>4.4994</v>
      </c>
      <c r="AA18" s="33">
        <f t="shared" si="12"/>
        <v>49.94762619</v>
      </c>
      <c r="AB18" s="34">
        <v>0.15</v>
      </c>
      <c r="AC18" s="35">
        <f t="shared" si="13"/>
        <v>0.132</v>
      </c>
      <c r="AD18" s="34">
        <v>0.25</v>
      </c>
      <c r="AE18" s="36">
        <v>0.15</v>
      </c>
      <c r="AF18" s="35">
        <f t="shared" si="14"/>
        <v>0.682</v>
      </c>
      <c r="AG18" s="35">
        <f t="shared" si="15"/>
        <v>0.318</v>
      </c>
      <c r="AH18" s="37">
        <f t="shared" si="16"/>
        <v>157.0680069</v>
      </c>
      <c r="AI18" s="38">
        <v>74.99</v>
      </c>
      <c r="AJ18" s="34">
        <v>0.25</v>
      </c>
      <c r="AK18" s="34">
        <v>0.1</v>
      </c>
      <c r="AL18" s="35">
        <f t="shared" si="17"/>
        <v>0.3662385143</v>
      </c>
      <c r="AM18" s="35">
        <f t="shared" si="18"/>
        <v>0.2181813575</v>
      </c>
      <c r="AN18" s="35">
        <f t="shared" si="19"/>
        <v>-0.1480571568</v>
      </c>
      <c r="AO18" s="35">
        <f t="shared" si="20"/>
        <v>0.1019428432</v>
      </c>
      <c r="AP18" s="35">
        <f t="shared" si="21"/>
        <v>0.2398186425</v>
      </c>
      <c r="AQ18" s="35">
        <f t="shared" si="22"/>
        <v>-0.4042643005</v>
      </c>
    </row>
    <row r="19">
      <c r="A19" s="60" t="s">
        <v>63</v>
      </c>
      <c r="B19" s="25" t="s">
        <v>58</v>
      </c>
      <c r="C19" s="26">
        <v>20.5</v>
      </c>
      <c r="D19" s="26">
        <v>20.0</v>
      </c>
      <c r="E19" s="26">
        <v>23.0</v>
      </c>
      <c r="F19" s="26">
        <v>34.6</v>
      </c>
      <c r="G19" s="53">
        <v>4200.0</v>
      </c>
      <c r="H19" s="26">
        <v>1.0</v>
      </c>
      <c r="I19" s="54">
        <f t="shared" si="1"/>
        <v>5.457175926</v>
      </c>
      <c r="J19" s="30">
        <f t="shared" si="2"/>
        <v>50</v>
      </c>
      <c r="K19" s="30">
        <f t="shared" si="3"/>
        <v>38.20023148</v>
      </c>
      <c r="L19" s="30">
        <f t="shared" si="4"/>
        <v>9.63</v>
      </c>
      <c r="M19" s="30">
        <f t="shared" si="5"/>
        <v>97.83023148</v>
      </c>
      <c r="N19" s="31">
        <f t="shared" si="6"/>
        <v>34.6</v>
      </c>
      <c r="O19" s="31">
        <f t="shared" si="7"/>
        <v>68</v>
      </c>
      <c r="P19" s="31">
        <f t="shared" si="8"/>
        <v>68</v>
      </c>
      <c r="Q19" s="32">
        <f>if(P19&lt;1,Cockpit!$H$7,if(P19&lt;20,Cockpit!$H$8,if(P19&lt;50,Cockpit!$H$9,if(P19&lt;70,Cockpit!$H$10,if(P19&lt;150,Cockpit!$H$11,Cockpit!$H$12)))))</f>
        <v>5</v>
      </c>
      <c r="R19" s="32">
        <f>if(MAX(C19:E19)&lt;15,Cockpit!$L$7,if(MAX(C19:E19)&lt;18,Cockpit!$L$8,if(MAX(C19:E19)&lt;59,Cockpit!$L$9,Cockpit!$L$10)))</f>
        <v>3</v>
      </c>
      <c r="S19" s="32">
        <f>if(MEDIAN(C19:E19)&lt;0.12,Cockpit!$L$7,if(MEDIAN(C19:E19)&lt;14,Cockpit!$L$8,if(MEDIAN(C19:E19)&lt;33,Cockpit!$L$9,Cockpit!$L$10)))</f>
        <v>3</v>
      </c>
      <c r="T19" s="32">
        <f>if(MIN(C19:E19)&lt;0.75,Cockpit!$L$7,if(MIN(C19:E19)&lt;8,Cockpit!$L$8,if(MIN(C19:E19)&lt;33,Cockpit!$L$9,Cockpit!$L$10)))</f>
        <v>3</v>
      </c>
      <c r="U19" s="32">
        <f t="shared" si="9"/>
        <v>5</v>
      </c>
      <c r="V19" s="29">
        <f>VLOOKUP($U19,Cockpit!$H$16:$M$22,3, FALSE)</f>
        <v>40.12</v>
      </c>
      <c r="W19" s="29">
        <f>VLOOKUP($U19,Cockpit!$H$16:$M$22,4, FALSE)</f>
        <v>0.75</v>
      </c>
      <c r="X19" s="29">
        <f>VLOOKUP($U19,Cockpit!$H$16:$M$22,5, FALSE)</f>
        <v>51</v>
      </c>
      <c r="Y19" s="29">
        <f t="shared" si="10"/>
        <v>52.87</v>
      </c>
      <c r="Z19" s="30">
        <f t="shared" si="11"/>
        <v>14.9994</v>
      </c>
      <c r="AA19" s="33">
        <f t="shared" si="12"/>
        <v>165.6996315</v>
      </c>
      <c r="AB19" s="34">
        <v>0.15</v>
      </c>
      <c r="AC19" s="35">
        <f t="shared" si="13"/>
        <v>0.132</v>
      </c>
      <c r="AD19" s="34">
        <v>0.25</v>
      </c>
      <c r="AE19" s="36">
        <v>0.15</v>
      </c>
      <c r="AF19" s="35">
        <f t="shared" si="14"/>
        <v>0.682</v>
      </c>
      <c r="AG19" s="35">
        <f t="shared" si="15"/>
        <v>0.318</v>
      </c>
      <c r="AH19" s="37">
        <f t="shared" si="16"/>
        <v>521.0680235</v>
      </c>
      <c r="AI19" s="38">
        <v>249.99</v>
      </c>
      <c r="AJ19" s="34">
        <v>0.25</v>
      </c>
      <c r="AK19" s="34">
        <v>0.15</v>
      </c>
      <c r="AL19" s="35">
        <f t="shared" si="17"/>
        <v>0.3913365794</v>
      </c>
      <c r="AM19" s="35">
        <f t="shared" si="18"/>
        <v>0.1965115405</v>
      </c>
      <c r="AN19" s="35">
        <f t="shared" si="19"/>
        <v>-0.1948250389</v>
      </c>
      <c r="AO19" s="35">
        <f t="shared" si="20"/>
        <v>0.05517496107</v>
      </c>
      <c r="AP19" s="35">
        <f t="shared" si="21"/>
        <v>0.2114884595</v>
      </c>
      <c r="AQ19" s="35">
        <f t="shared" si="22"/>
        <v>-0.4978452033</v>
      </c>
    </row>
    <row r="20">
      <c r="A20" s="61" t="s">
        <v>64</v>
      </c>
      <c r="B20" s="62" t="s">
        <v>58</v>
      </c>
      <c r="C20" s="27">
        <v>19.0</v>
      </c>
      <c r="D20" s="27">
        <v>19.0</v>
      </c>
      <c r="E20" s="26">
        <v>23.0</v>
      </c>
      <c r="F20" s="26"/>
      <c r="G20" s="28">
        <v>2700.0</v>
      </c>
      <c r="H20" s="26">
        <v>1.0</v>
      </c>
      <c r="I20" s="63">
        <f t="shared" si="1"/>
        <v>4.804976852</v>
      </c>
      <c r="J20" s="64">
        <f t="shared" si="2"/>
        <v>32.14285714</v>
      </c>
      <c r="K20" s="64">
        <f t="shared" si="3"/>
        <v>33.63483796</v>
      </c>
      <c r="L20" s="64">
        <f t="shared" si="4"/>
        <v>6.190714286</v>
      </c>
      <c r="M20" s="64">
        <f t="shared" si="5"/>
        <v>71.96840939</v>
      </c>
      <c r="N20" s="26" t="str">
        <f t="shared" si="6"/>
        <v/>
      </c>
      <c r="O20" s="26">
        <f t="shared" si="7"/>
        <v>60</v>
      </c>
      <c r="P20" s="26">
        <f t="shared" si="8"/>
        <v>60</v>
      </c>
      <c r="Q20" s="65">
        <f>if(P20&lt;1,Cockpit!$H$7,if(P20&lt;20,Cockpit!$H$8,if(P20&lt;50,Cockpit!$H$9,if(P20&lt;70,Cockpit!$H$10,if(P20&lt;150,Cockpit!$H$11,Cockpit!$H$12)))))</f>
        <v>5</v>
      </c>
      <c r="R20" s="65">
        <f>if(MAX(C20:E20)&lt;15,Cockpit!$L$7,if(MAX(C20:E20)&lt;18,Cockpit!$L$8,if(MAX(C20:E20)&lt;59,Cockpit!$L$9,Cockpit!$L$10)))</f>
        <v>3</v>
      </c>
      <c r="S20" s="65">
        <f>if(MEDIAN(C20:E20)&lt;0.12,Cockpit!$L$7,if(MEDIAN(C20:E20)&lt;14,Cockpit!$L$8,if(MEDIAN(C20:E20)&lt;33,Cockpit!$L$9,Cockpit!$L$10)))</f>
        <v>3</v>
      </c>
      <c r="T20" s="65">
        <f>if(MIN(C20:E20)&lt;0.75,Cockpit!$L$7,if(MIN(C20:E20)&lt;8,Cockpit!$L$8,if(MIN(C20:E20)&lt;33,Cockpit!$L$9,Cockpit!$L$10)))</f>
        <v>3</v>
      </c>
      <c r="U20" s="65">
        <f t="shared" si="9"/>
        <v>5</v>
      </c>
      <c r="V20" s="66">
        <f>VLOOKUP($U20,Cockpit!$H$16:$M$22,3, FALSE)</f>
        <v>40.12</v>
      </c>
      <c r="W20" s="66">
        <f>VLOOKUP($U20,Cockpit!$H$16:$M$22,4, FALSE)</f>
        <v>0.75</v>
      </c>
      <c r="X20" s="66">
        <f>VLOOKUP($U20,Cockpit!$H$16:$M$22,5, FALSE)</f>
        <v>51</v>
      </c>
      <c r="Y20" s="66">
        <f t="shared" si="10"/>
        <v>46.87</v>
      </c>
      <c r="Z20" s="64">
        <f t="shared" si="11"/>
        <v>14.9994</v>
      </c>
      <c r="AA20" s="67">
        <f t="shared" si="12"/>
        <v>133.8378094</v>
      </c>
      <c r="AB20" s="34">
        <v>0.15</v>
      </c>
      <c r="AC20" s="68">
        <f t="shared" si="13"/>
        <v>0.132</v>
      </c>
      <c r="AD20" s="34">
        <v>0.25</v>
      </c>
      <c r="AE20" s="36">
        <v>0.15</v>
      </c>
      <c r="AF20" s="68">
        <f t="shared" si="14"/>
        <v>0.682</v>
      </c>
      <c r="AG20" s="68">
        <f t="shared" si="15"/>
        <v>0.318</v>
      </c>
      <c r="AH20" s="69">
        <f t="shared" si="16"/>
        <v>420.8736144</v>
      </c>
      <c r="AI20" s="38">
        <f>249.99</f>
        <v>249.99</v>
      </c>
      <c r="AJ20" s="34">
        <v>0.25</v>
      </c>
      <c r="AK20" s="34">
        <v>0.15</v>
      </c>
      <c r="AL20" s="68">
        <f t="shared" si="17"/>
        <v>0.287885153</v>
      </c>
      <c r="AM20" s="68">
        <f t="shared" si="18"/>
        <v>0.2205125005</v>
      </c>
      <c r="AN20" s="68">
        <f t="shared" si="19"/>
        <v>-0.06737265247</v>
      </c>
      <c r="AO20" s="68">
        <f t="shared" si="20"/>
        <v>0.1826273475</v>
      </c>
      <c r="AP20" s="68">
        <f t="shared" si="21"/>
        <v>0.1874874995</v>
      </c>
      <c r="AQ20" s="68">
        <f t="shared" si="22"/>
        <v>-0.2340261447</v>
      </c>
    </row>
    <row r="21">
      <c r="A21" s="60" t="s">
        <v>65</v>
      </c>
      <c r="B21" s="25" t="s">
        <v>58</v>
      </c>
      <c r="C21" s="27">
        <v>17.0</v>
      </c>
      <c r="D21" s="27">
        <v>17.0</v>
      </c>
      <c r="E21" s="27">
        <v>23.0</v>
      </c>
      <c r="F21" s="26">
        <v>38.8</v>
      </c>
      <c r="G21" s="53">
        <v>5100.0</v>
      </c>
      <c r="H21" s="26">
        <v>1.0</v>
      </c>
      <c r="I21" s="54">
        <f t="shared" si="1"/>
        <v>3.846643519</v>
      </c>
      <c r="J21" s="30">
        <f t="shared" si="2"/>
        <v>60.71428571</v>
      </c>
      <c r="K21" s="30">
        <f t="shared" si="3"/>
        <v>26.92650463</v>
      </c>
      <c r="L21" s="30">
        <f t="shared" si="4"/>
        <v>11.69357143</v>
      </c>
      <c r="M21" s="30">
        <f t="shared" si="5"/>
        <v>99.33436177</v>
      </c>
      <c r="N21" s="31">
        <f t="shared" si="6"/>
        <v>38.8</v>
      </c>
      <c r="O21" s="31">
        <f t="shared" si="7"/>
        <v>48</v>
      </c>
      <c r="P21" s="31">
        <f t="shared" si="8"/>
        <v>48</v>
      </c>
      <c r="Q21" s="32">
        <f>if(P21&lt;1,Cockpit!$H$7,if(P21&lt;20,Cockpit!$H$8,if(P21&lt;50,Cockpit!$H$9,if(P21&lt;70,Cockpit!$H$10,if(P21&lt;150,Cockpit!$H$11,Cockpit!$H$12)))))</f>
        <v>3</v>
      </c>
      <c r="R21" s="32">
        <f>if(MAX(C21:E21)&lt;15,Cockpit!$L$7,if(MAX(C21:E21)&lt;18,Cockpit!$L$8,if(MAX(C21:E21)&lt;59,Cockpit!$L$9,Cockpit!$L$10)))</f>
        <v>3</v>
      </c>
      <c r="S21" s="32">
        <f>if(MEDIAN(C21:E21)&lt;0.12,Cockpit!$L$7,if(MEDIAN(C21:E21)&lt;14,Cockpit!$L$8,if(MEDIAN(C21:E21)&lt;33,Cockpit!$L$9,Cockpit!$L$10)))</f>
        <v>3</v>
      </c>
      <c r="T21" s="32">
        <f>if(MIN(C21:E21)&lt;0.75,Cockpit!$L$7,if(MIN(C21:E21)&lt;8,Cockpit!$L$8,if(MIN(C21:E21)&lt;33,Cockpit!$L$9,Cockpit!$L$10)))</f>
        <v>3</v>
      </c>
      <c r="U21" s="32">
        <f t="shared" si="9"/>
        <v>3</v>
      </c>
      <c r="V21" s="29">
        <f>VLOOKUP($U21,Cockpit!$H$16:$M$22,3, FALSE)</f>
        <v>10.65</v>
      </c>
      <c r="W21" s="29">
        <f>VLOOKUP($U21,Cockpit!$H$16:$M$22,4, FALSE)</f>
        <v>0.38</v>
      </c>
      <c r="X21" s="29">
        <f>VLOOKUP($U21,Cockpit!$H$16:$M$22,5, FALSE)</f>
        <v>1</v>
      </c>
      <c r="Y21" s="29">
        <f t="shared" si="10"/>
        <v>28.51</v>
      </c>
      <c r="Z21" s="30">
        <f t="shared" si="11"/>
        <v>13.7994</v>
      </c>
      <c r="AA21" s="33">
        <f t="shared" si="12"/>
        <v>141.6437618</v>
      </c>
      <c r="AB21" s="34">
        <v>0.15</v>
      </c>
      <c r="AC21" s="35">
        <f t="shared" si="13"/>
        <v>0.132</v>
      </c>
      <c r="AD21" s="34">
        <v>0.25</v>
      </c>
      <c r="AE21" s="36">
        <v>0.15</v>
      </c>
      <c r="AF21" s="35">
        <f t="shared" si="14"/>
        <v>0.682</v>
      </c>
      <c r="AG21" s="35">
        <f t="shared" si="15"/>
        <v>0.318</v>
      </c>
      <c r="AH21" s="37">
        <f t="shared" si="16"/>
        <v>445.4206345</v>
      </c>
      <c r="AI21" s="38">
        <v>229.99</v>
      </c>
      <c r="AJ21" s="34">
        <v>0.25</v>
      </c>
      <c r="AK21" s="34">
        <v>0.15</v>
      </c>
      <c r="AL21" s="35">
        <f t="shared" si="17"/>
        <v>0.431907308</v>
      </c>
      <c r="AM21" s="35">
        <f t="shared" si="18"/>
        <v>0.2840380886</v>
      </c>
      <c r="AN21" s="35">
        <f t="shared" si="19"/>
        <v>-0.1478692194</v>
      </c>
      <c r="AO21" s="35">
        <f t="shared" si="20"/>
        <v>0.1021307806</v>
      </c>
      <c r="AP21" s="35">
        <f t="shared" si="21"/>
        <v>0.1239619114</v>
      </c>
      <c r="AQ21" s="35">
        <f t="shared" si="22"/>
        <v>-0.3423633189</v>
      </c>
    </row>
    <row r="22">
      <c r="A22" s="60" t="s">
        <v>66</v>
      </c>
      <c r="B22" s="25" t="s">
        <v>58</v>
      </c>
      <c r="C22" s="26">
        <v>21.0</v>
      </c>
      <c r="D22" s="26">
        <v>21.0</v>
      </c>
      <c r="E22" s="26">
        <v>25.0</v>
      </c>
      <c r="F22" s="26">
        <v>64.3</v>
      </c>
      <c r="G22" s="53">
        <v>4000.0</v>
      </c>
      <c r="H22" s="26">
        <v>1.0</v>
      </c>
      <c r="I22" s="54">
        <f t="shared" si="1"/>
        <v>6.380208333</v>
      </c>
      <c r="J22" s="30">
        <f t="shared" si="2"/>
        <v>47.61904762</v>
      </c>
      <c r="K22" s="30">
        <f t="shared" si="3"/>
        <v>44.66145833</v>
      </c>
      <c r="L22" s="30">
        <f t="shared" si="4"/>
        <v>9.171428571</v>
      </c>
      <c r="M22" s="30">
        <f t="shared" si="5"/>
        <v>101.4519345</v>
      </c>
      <c r="N22" s="31">
        <f t="shared" si="6"/>
        <v>64.3</v>
      </c>
      <c r="O22" s="31">
        <f t="shared" si="7"/>
        <v>80</v>
      </c>
      <c r="P22" s="31">
        <f t="shared" si="8"/>
        <v>80</v>
      </c>
      <c r="Q22" s="32">
        <f>if(P22&lt;1,Cockpit!$H$7,if(P22&lt;20,Cockpit!$H$8,if(P22&lt;50,Cockpit!$H$9,if(P22&lt;70,Cockpit!$H$10,if(P22&lt;150,Cockpit!$H$11,Cockpit!$H$12)))))</f>
        <v>6</v>
      </c>
      <c r="R22" s="32">
        <f>if(MAX(C22:E22)&lt;15,Cockpit!$L$7,if(MAX(C22:E22)&lt;18,Cockpit!$L$8,if(MAX(C22:E22)&lt;59,Cockpit!$L$9,Cockpit!$L$10)))</f>
        <v>3</v>
      </c>
      <c r="S22" s="32">
        <f>if(MEDIAN(C22:E22)&lt;0.12,Cockpit!$L$7,if(MEDIAN(C22:E22)&lt;14,Cockpit!$L$8,if(MEDIAN(C22:E22)&lt;33,Cockpit!$L$9,Cockpit!$L$10)))</f>
        <v>3</v>
      </c>
      <c r="T22" s="32">
        <f>if(MIN(C22:E22)&lt;0.75,Cockpit!$L$7,if(MIN(C22:E22)&lt;8,Cockpit!$L$8,if(MIN(C22:E22)&lt;33,Cockpit!$L$9,Cockpit!$L$10)))</f>
        <v>3</v>
      </c>
      <c r="U22" s="32">
        <f t="shared" si="9"/>
        <v>6</v>
      </c>
      <c r="V22" s="29">
        <f>VLOOKUP($U22,Cockpit!$H$16:$M$22,3, FALSE)</f>
        <v>54.81</v>
      </c>
      <c r="W22" s="29">
        <f>VLOOKUP($U22,Cockpit!$H$16:$M$22,4, FALSE)</f>
        <v>0.75</v>
      </c>
      <c r="X22" s="29">
        <f>VLOOKUP($U22,Cockpit!$H$16:$M$22,5, FALSE)</f>
        <v>71</v>
      </c>
      <c r="Y22" s="29">
        <f t="shared" si="10"/>
        <v>61.56</v>
      </c>
      <c r="Z22" s="30">
        <f t="shared" si="11"/>
        <v>11.9994</v>
      </c>
      <c r="AA22" s="33">
        <f t="shared" si="12"/>
        <v>175.0113345</v>
      </c>
      <c r="AB22" s="34">
        <v>0.15</v>
      </c>
      <c r="AC22" s="35">
        <f t="shared" si="13"/>
        <v>0.132</v>
      </c>
      <c r="AD22" s="34">
        <v>0.25</v>
      </c>
      <c r="AE22" s="36">
        <v>0.15</v>
      </c>
      <c r="AF22" s="35">
        <f t="shared" si="14"/>
        <v>0.682</v>
      </c>
      <c r="AG22" s="35">
        <f t="shared" si="15"/>
        <v>0.318</v>
      </c>
      <c r="AH22" s="37">
        <f t="shared" si="16"/>
        <v>550.3501086</v>
      </c>
      <c r="AI22" s="38">
        <v>199.99</v>
      </c>
      <c r="AJ22" s="34">
        <v>0.25</v>
      </c>
      <c r="AK22" s="34">
        <v>0.15</v>
      </c>
      <c r="AL22" s="35">
        <f t="shared" si="17"/>
        <v>0.5072850369</v>
      </c>
      <c r="AM22" s="35">
        <f t="shared" si="18"/>
        <v>0.1001846092</v>
      </c>
      <c r="AN22" s="35">
        <f t="shared" si="19"/>
        <v>-0.4071004276</v>
      </c>
      <c r="AO22" s="35">
        <f t="shared" si="20"/>
        <v>-0.1571004276</v>
      </c>
      <c r="AP22" s="35">
        <f t="shared" si="21"/>
        <v>0.3078153908</v>
      </c>
      <c r="AQ22" s="35">
        <f t="shared" si="22"/>
        <v>-0.8025082509</v>
      </c>
    </row>
  </sheetData>
  <autoFilter ref="$A$3:$AQ$22">
    <sortState ref="A3:AQ22">
      <sortCondition descending="1" ref="AN3:AN22"/>
      <sortCondition ref="A3:A22"/>
      <sortCondition descending="1" ref="AO3:AO22"/>
      <sortCondition ref="AI3:AI22"/>
      <sortCondition ref="B3:B22"/>
      <sortCondition descending="1" ref="AQ3:AQ22"/>
    </sortState>
  </autoFilter>
  <mergeCells count="2">
    <mergeCell ref="C2:E2"/>
    <mergeCell ref="Q2:U2"/>
  </mergeCells>
  <conditionalFormatting sqref="B4:B22">
    <cfRule type="cellIs" dxfId="0" priority="1" operator="equal">
      <formula>"Kill"</formula>
    </cfRule>
  </conditionalFormatting>
  <drawing r:id="rId4"/>
  <legacyDrawing r:id="rId5"/>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14.25"/>
    <col customWidth="1" min="2" max="2" width="13.13"/>
  </cols>
  <sheetData>
    <row r="1">
      <c r="A1" s="70" t="str">
        <f>'Amazon Model Unit Economics - V'!A3</f>
        <v>SKU</v>
      </c>
      <c r="B1" s="70" t="str">
        <f>'Amazon Model Unit Economics - V'!J3</f>
        <v>Ex-factory cost</v>
      </c>
      <c r="C1" s="7" t="s">
        <v>67</v>
      </c>
    </row>
    <row r="2">
      <c r="A2" s="70" t="str">
        <f>'Amazon Model Unit Economics - V'!A4</f>
        <v>ET008</v>
      </c>
      <c r="B2" s="71">
        <f>'Amazon Model Unit Economics - V'!J4</f>
        <v>26.19047619</v>
      </c>
      <c r="C2" s="71">
        <f t="shared" ref="C2:C20" si="1">B2*1.07</f>
        <v>28.02380952</v>
      </c>
    </row>
    <row r="3">
      <c r="A3" s="70" t="str">
        <f>'Amazon Model Unit Economics - V'!A5</f>
        <v>ET042MB(D)</v>
      </c>
      <c r="B3" s="71">
        <f>'Amazon Model Unit Economics - V'!J5</f>
        <v>19.64285714</v>
      </c>
      <c r="C3" s="71">
        <f t="shared" si="1"/>
        <v>21.01785714</v>
      </c>
    </row>
    <row r="4">
      <c r="A4" s="70" t="str">
        <f>'Amazon Model Unit Economics - V'!A6</f>
        <v>ET042MW</v>
      </c>
      <c r="B4" s="71">
        <f>'Amazon Model Unit Economics - V'!J6</f>
        <v>19.64285714</v>
      </c>
      <c r="C4" s="71">
        <f t="shared" si="1"/>
        <v>21.01785714</v>
      </c>
    </row>
    <row r="5">
      <c r="A5" s="70" t="str">
        <f>'Amazon Model Unit Economics - V'!A7</f>
        <v>ET003-N</v>
      </c>
      <c r="B5" s="71">
        <f>'Amazon Model Unit Economics - V'!J7</f>
        <v>32.14285714</v>
      </c>
      <c r="C5" s="71">
        <f t="shared" si="1"/>
        <v>34.39285714</v>
      </c>
    </row>
    <row r="6">
      <c r="A6" s="70" t="str">
        <f>'Amazon Model Unit Economics - V'!A8</f>
        <v>ET003-W</v>
      </c>
      <c r="B6" s="71">
        <f>'Amazon Model Unit Economics - V'!J8</f>
        <v>32.14285714</v>
      </c>
      <c r="C6" s="71">
        <f t="shared" si="1"/>
        <v>34.39285714</v>
      </c>
    </row>
    <row r="7">
      <c r="A7" s="70" t="str">
        <f>'Amazon Model Unit Economics - V'!A9</f>
        <v>ET009</v>
      </c>
      <c r="B7" s="71">
        <f>'Amazon Model Unit Economics - V'!J9</f>
        <v>21.42857143</v>
      </c>
      <c r="C7" s="71">
        <f t="shared" si="1"/>
        <v>22.92857143</v>
      </c>
    </row>
    <row r="8">
      <c r="A8" s="70" t="str">
        <f>'Amazon Model Unit Economics - V'!A10</f>
        <v>ET012</v>
      </c>
      <c r="B8" s="71">
        <f>'Amazon Model Unit Economics - V'!J10</f>
        <v>23.57142857</v>
      </c>
      <c r="C8" s="71">
        <f t="shared" si="1"/>
        <v>25.22142857</v>
      </c>
    </row>
    <row r="9">
      <c r="A9" s="70" t="str">
        <f>'Amazon Model Unit Economics - V'!A11</f>
        <v>DR005MW</v>
      </c>
      <c r="B9" s="71">
        <f>'Amazon Model Unit Economics - V'!J11</f>
        <v>14.28571429</v>
      </c>
      <c r="C9" s="71">
        <f t="shared" si="1"/>
        <v>15.28571429</v>
      </c>
    </row>
    <row r="10">
      <c r="A10" s="70" t="str">
        <f>'Amazon Model Unit Economics - V'!A12</f>
        <v>DR002MTMW</v>
      </c>
      <c r="B10" s="71">
        <f>'Amazon Model Unit Economics - V'!J12</f>
        <v>17.26</v>
      </c>
      <c r="C10" s="71">
        <f t="shared" si="1"/>
        <v>18.4682</v>
      </c>
    </row>
    <row r="11">
      <c r="A11" s="70" t="str">
        <f>'Amazon Model Unit Economics - V'!A13</f>
        <v>DR001MW</v>
      </c>
      <c r="B11" s="71">
        <f>'Amazon Model Unit Economics - V'!J13</f>
        <v>14.88</v>
      </c>
      <c r="C11" s="71">
        <f t="shared" si="1"/>
        <v>15.9216</v>
      </c>
    </row>
    <row r="12">
      <c r="A12" s="70" t="str">
        <f>'Amazon Model Unit Economics - V'!A14</f>
        <v>DR004MB</v>
      </c>
      <c r="B12" s="71">
        <f>'Amazon Model Unit Economics - V'!J14</f>
        <v>14.88095238</v>
      </c>
      <c r="C12" s="71">
        <f t="shared" si="1"/>
        <v>15.92261905</v>
      </c>
    </row>
    <row r="13">
      <c r="A13" s="70" t="str">
        <f>'Amazon Model Unit Economics - V'!A15</f>
        <v>ET067MB</v>
      </c>
      <c r="B13" s="71">
        <f>'Amazon Model Unit Economics - V'!J15</f>
        <v>19.3452381</v>
      </c>
      <c r="C13" s="71">
        <f t="shared" si="1"/>
        <v>20.69940476</v>
      </c>
    </row>
    <row r="14">
      <c r="A14" s="70" t="str">
        <f>'Amazon Model Unit Economics - V'!A16</f>
        <v>DR003MW</v>
      </c>
      <c r="B14" s="71">
        <f>'Amazon Model Unit Economics - V'!J16</f>
        <v>13.69047619</v>
      </c>
      <c r="C14" s="71">
        <f t="shared" si="1"/>
        <v>14.64880952</v>
      </c>
    </row>
    <row r="15">
      <c r="A15" s="70" t="str">
        <f>'Amazon Model Unit Economics - V'!A17</f>
        <v>DR003MWW(D)</v>
      </c>
      <c r="B15" s="71">
        <f>'Amazon Model Unit Economics - V'!J17</f>
        <v>13.69047619</v>
      </c>
      <c r="C15" s="71">
        <f t="shared" si="1"/>
        <v>14.64880952</v>
      </c>
    </row>
    <row r="16">
      <c r="A16" s="70" t="str">
        <f>'Amazon Model Unit Economics - V'!A18</f>
        <v>ET043MTMS</v>
      </c>
      <c r="B16" s="71">
        <f>'Amazon Model Unit Economics - V'!J18</f>
        <v>14.28571429</v>
      </c>
      <c r="C16" s="71">
        <f t="shared" si="1"/>
        <v>15.28571429</v>
      </c>
    </row>
    <row r="17">
      <c r="A17" s="70" t="str">
        <f>'Amazon Model Unit Economics - V'!A19</f>
        <v>ET005MR</v>
      </c>
      <c r="B17" s="71">
        <f>'Amazon Model Unit Economics - V'!J19</f>
        <v>50</v>
      </c>
      <c r="C17" s="71">
        <f t="shared" si="1"/>
        <v>53.5</v>
      </c>
    </row>
    <row r="18">
      <c r="A18" s="70" t="str">
        <f>'Amazon Model Unit Economics - V'!A20</f>
        <v>ET004</v>
      </c>
      <c r="B18" s="71">
        <f>'Amazon Model Unit Economics - V'!J20</f>
        <v>32.14285714</v>
      </c>
      <c r="C18" s="71">
        <f t="shared" si="1"/>
        <v>34.39285714</v>
      </c>
    </row>
    <row r="19">
      <c r="A19" s="70" t="str">
        <f>'Amazon Model Unit Economics - V'!A21</f>
        <v>ET006</v>
      </c>
      <c r="B19" s="71">
        <f>'Amazon Model Unit Economics - V'!J21</f>
        <v>60.71428571</v>
      </c>
      <c r="C19" s="71">
        <f t="shared" si="1"/>
        <v>64.96428571</v>
      </c>
    </row>
    <row r="20">
      <c r="A20" s="70" t="str">
        <f>'Amazon Model Unit Economics - V'!A22</f>
        <v>ET013</v>
      </c>
      <c r="B20" s="71">
        <f>'Amazon Model Unit Economics - V'!J22</f>
        <v>47.61904762</v>
      </c>
      <c r="C20" s="71">
        <f t="shared" si="1"/>
        <v>50.95238095</v>
      </c>
    </row>
    <row r="21">
      <c r="A21" s="70" t="str">
        <f>'Amazon Model Unit Economics - V'!A23</f>
        <v/>
      </c>
    </row>
    <row r="22">
      <c r="A22" s="70" t="str">
        <f>'Amazon Model Unit Economics - V'!A24</f>
        <v/>
      </c>
    </row>
    <row r="23">
      <c r="A23" s="70" t="str">
        <f>'Amazon Model Unit Economics - V'!A25</f>
        <v/>
      </c>
    </row>
    <row r="24">
      <c r="A24" s="70" t="str">
        <f>'Amazon Model Unit Economics - V'!A26</f>
        <v/>
      </c>
    </row>
    <row r="25">
      <c r="A25" s="70" t="str">
        <f>'Amazon Model Unit Economics - V'!A27</f>
        <v/>
      </c>
    </row>
    <row r="26">
      <c r="A26" s="70" t="str">
        <f>'Amazon Model Unit Economics - V'!A28</f>
        <v/>
      </c>
    </row>
  </sheetData>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3" max="3" width="21.88"/>
    <col customWidth="1" min="4" max="4" width="32.63"/>
  </cols>
  <sheetData>
    <row r="3">
      <c r="B3" s="70" t="s">
        <v>3</v>
      </c>
      <c r="C3" s="72" t="s">
        <v>37</v>
      </c>
      <c r="D3" s="72" t="s">
        <v>42</v>
      </c>
      <c r="E3" s="7" t="s">
        <v>68</v>
      </c>
    </row>
    <row r="4">
      <c r="B4" s="70" t="s">
        <v>46</v>
      </c>
      <c r="C4" s="73">
        <v>199.99</v>
      </c>
      <c r="D4" s="74">
        <v>0.07850266203786382</v>
      </c>
      <c r="E4" s="7">
        <v>20.0</v>
      </c>
    </row>
    <row r="5">
      <c r="B5" s="70" t="s">
        <v>48</v>
      </c>
      <c r="C5" s="73">
        <v>149.99</v>
      </c>
      <c r="D5" s="74">
        <v>0.07485755240825581</v>
      </c>
      <c r="E5" s="7">
        <v>35.0</v>
      </c>
    </row>
    <row r="6">
      <c r="B6" s="70" t="s">
        <v>49</v>
      </c>
      <c r="C6" s="73">
        <v>149.99</v>
      </c>
      <c r="D6" s="74">
        <v>0.07485755240825581</v>
      </c>
      <c r="E6" s="7">
        <v>35.0</v>
      </c>
    </row>
    <row r="7">
      <c r="B7" s="70" t="s">
        <v>51</v>
      </c>
      <c r="C7" s="73">
        <v>199.0</v>
      </c>
      <c r="D7" s="74">
        <v>0.07347008853792764</v>
      </c>
      <c r="E7" s="7">
        <v>25.0</v>
      </c>
    </row>
    <row r="8">
      <c r="B8" s="70" t="s">
        <v>50</v>
      </c>
      <c r="C8" s="73">
        <v>199.0</v>
      </c>
      <c r="D8" s="74">
        <v>0.07347008853792764</v>
      </c>
      <c r="E8" s="7">
        <v>25.0</v>
      </c>
    </row>
    <row r="9">
      <c r="B9" s="70" t="s">
        <v>52</v>
      </c>
      <c r="C9" s="73">
        <v>149.99</v>
      </c>
      <c r="D9" s="74">
        <v>0.06560068748851333</v>
      </c>
      <c r="E9" s="7">
        <v>30.0</v>
      </c>
    </row>
    <row r="10">
      <c r="B10" s="70" t="s">
        <v>53</v>
      </c>
      <c r="C10" s="73">
        <v>150.0</v>
      </c>
      <c r="D10" s="74">
        <v>0.06288772045855379</v>
      </c>
      <c r="E10" s="7">
        <v>22.0</v>
      </c>
    </row>
    <row r="11">
      <c r="B11" s="70" t="s">
        <v>54</v>
      </c>
      <c r="C11" s="73">
        <v>99.99</v>
      </c>
      <c r="D11" s="74">
        <v>0.04040756119262712</v>
      </c>
      <c r="E11" s="7">
        <v>25.0</v>
      </c>
    </row>
    <row r="12">
      <c r="B12" s="70" t="s">
        <v>56</v>
      </c>
      <c r="C12" s="73">
        <v>139.99</v>
      </c>
      <c r="D12" s="75">
        <v>0.04</v>
      </c>
      <c r="E12" s="7">
        <v>25.0</v>
      </c>
    </row>
    <row r="13">
      <c r="B13" s="70" t="s">
        <v>55</v>
      </c>
      <c r="C13" s="73">
        <v>149.99</v>
      </c>
      <c r="D13" s="75">
        <v>0.04</v>
      </c>
      <c r="E13" s="7">
        <v>25.0</v>
      </c>
    </row>
  </sheetData>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2" max="2" width="19.38"/>
    <col customWidth="1" min="3" max="3" width="15.13"/>
    <col customWidth="1" min="7" max="7" width="17.5"/>
    <col customWidth="1" min="8" max="8" width="6.13"/>
    <col customWidth="1" min="9" max="9" width="55.88"/>
    <col customWidth="1" min="10" max="10" width="15.13"/>
    <col customWidth="1" min="11" max="11" width="13.38"/>
    <col customWidth="1" min="12" max="12" width="11.63"/>
  </cols>
  <sheetData>
    <row r="2">
      <c r="B2" s="72" t="s">
        <v>69</v>
      </c>
      <c r="C2" s="76">
        <v>84.0</v>
      </c>
    </row>
    <row r="3">
      <c r="B3" s="72" t="s">
        <v>70</v>
      </c>
      <c r="C3" s="76">
        <v>2.0</v>
      </c>
    </row>
    <row r="4">
      <c r="B4" s="72" t="s">
        <v>71</v>
      </c>
      <c r="C4" s="76">
        <v>0.45</v>
      </c>
    </row>
    <row r="6">
      <c r="B6" s="77"/>
      <c r="C6" s="78" t="s">
        <v>72</v>
      </c>
      <c r="D6" s="78" t="s">
        <v>73</v>
      </c>
      <c r="G6" s="79" t="s">
        <v>74</v>
      </c>
      <c r="H6" s="80" t="s">
        <v>75</v>
      </c>
      <c r="I6" s="80" t="s">
        <v>76</v>
      </c>
      <c r="K6" s="72" t="s">
        <v>77</v>
      </c>
    </row>
    <row r="7">
      <c r="B7" s="81" t="s">
        <v>78</v>
      </c>
      <c r="C7" s="82">
        <v>100000.0</v>
      </c>
      <c r="D7" s="83">
        <f>C7/$C$2</f>
        <v>1190.47619</v>
      </c>
      <c r="G7" s="84">
        <v>16.0</v>
      </c>
      <c r="H7" s="85">
        <v>1.0</v>
      </c>
      <c r="I7" s="85" t="s">
        <v>79</v>
      </c>
      <c r="K7" s="72">
        <v>15.0</v>
      </c>
      <c r="L7" s="72">
        <v>1.0</v>
      </c>
      <c r="M7" s="72" t="s">
        <v>79</v>
      </c>
    </row>
    <row r="8">
      <c r="B8" s="77"/>
      <c r="C8" s="83"/>
      <c r="D8" s="83"/>
      <c r="G8" s="85">
        <v>20.0</v>
      </c>
      <c r="H8" s="85">
        <v>2.0</v>
      </c>
      <c r="I8" s="85" t="s">
        <v>80</v>
      </c>
      <c r="K8" s="72">
        <v>18.0</v>
      </c>
      <c r="L8" s="72">
        <v>2.0</v>
      </c>
      <c r="M8" s="72" t="s">
        <v>80</v>
      </c>
    </row>
    <row r="9">
      <c r="B9" s="77"/>
      <c r="C9" s="83"/>
      <c r="D9" s="83"/>
      <c r="G9" s="85">
        <v>50.0</v>
      </c>
      <c r="H9" s="85">
        <v>3.0</v>
      </c>
      <c r="I9" s="85" t="s">
        <v>81</v>
      </c>
      <c r="K9" s="72">
        <v>59.0</v>
      </c>
      <c r="L9" s="72">
        <v>3.0</v>
      </c>
      <c r="M9" s="72" t="s">
        <v>81</v>
      </c>
    </row>
    <row r="10">
      <c r="B10" s="77"/>
      <c r="C10" s="83"/>
      <c r="D10" s="83">
        <f>8000-D7</f>
        <v>6809.52381</v>
      </c>
      <c r="G10" s="85">
        <v>70.0</v>
      </c>
      <c r="H10" s="85">
        <v>5.0</v>
      </c>
      <c r="I10" s="85" t="s">
        <v>82</v>
      </c>
      <c r="L10" s="72">
        <v>4.0</v>
      </c>
      <c r="M10" s="72" t="s">
        <v>82</v>
      </c>
    </row>
    <row r="11">
      <c r="B11" s="81" t="s">
        <v>83</v>
      </c>
      <c r="C11" s="86"/>
      <c r="D11" s="87">
        <f>SUM(D7:D10)</f>
        <v>8000</v>
      </c>
      <c r="G11" s="84">
        <v>150.0</v>
      </c>
      <c r="H11" s="84">
        <v>6.0</v>
      </c>
      <c r="I11" s="85" t="s">
        <v>84</v>
      </c>
    </row>
    <row r="15">
      <c r="I15" s="88" t="s">
        <v>76</v>
      </c>
      <c r="J15" s="88" t="s">
        <v>85</v>
      </c>
      <c r="K15" s="88" t="s">
        <v>86</v>
      </c>
    </row>
    <row r="16">
      <c r="H16" s="72">
        <v>1.0</v>
      </c>
      <c r="I16" s="72" t="s">
        <v>79</v>
      </c>
    </row>
    <row r="17">
      <c r="H17" s="72">
        <v>2.0</v>
      </c>
      <c r="I17" s="72" t="s">
        <v>80</v>
      </c>
      <c r="J17" s="7">
        <v>7.46</v>
      </c>
      <c r="K17" s="70">
        <f>0.08*4</f>
        <v>0.32</v>
      </c>
      <c r="L17" s="7">
        <v>3.0</v>
      </c>
      <c r="M17" s="7"/>
    </row>
    <row r="18">
      <c r="H18" s="72">
        <v>3.0</v>
      </c>
      <c r="I18" s="72" t="s">
        <v>81</v>
      </c>
      <c r="J18" s="7">
        <v>10.65</v>
      </c>
      <c r="K18" s="72">
        <v>0.38</v>
      </c>
      <c r="L18" s="72">
        <v>1.0</v>
      </c>
    </row>
    <row r="19">
      <c r="H19" s="72">
        <v>4.0</v>
      </c>
      <c r="I19" s="72" t="s">
        <v>87</v>
      </c>
      <c r="J19" s="72">
        <v>26.33</v>
      </c>
      <c r="K19" s="72">
        <v>0.38</v>
      </c>
      <c r="L19" s="72">
        <v>1.0</v>
      </c>
    </row>
    <row r="20">
      <c r="H20" s="72">
        <v>5.0</v>
      </c>
      <c r="I20" s="72" t="s">
        <v>88</v>
      </c>
      <c r="J20" s="72">
        <v>40.12</v>
      </c>
      <c r="K20" s="72">
        <v>0.75</v>
      </c>
      <c r="L20" s="72">
        <v>51.0</v>
      </c>
    </row>
    <row r="21">
      <c r="H21" s="72">
        <v>6.0</v>
      </c>
      <c r="I21" s="72" t="s">
        <v>84</v>
      </c>
      <c r="J21" s="72">
        <v>54.81</v>
      </c>
      <c r="K21" s="72">
        <v>0.75</v>
      </c>
      <c r="L21" s="72">
        <v>71.0</v>
      </c>
    </row>
    <row r="22">
      <c r="H22" s="72">
        <v>7.0</v>
      </c>
      <c r="I22" s="72" t="s">
        <v>89</v>
      </c>
      <c r="J22" s="72">
        <v>194.95</v>
      </c>
      <c r="K22" s="72">
        <v>0.19</v>
      </c>
      <c r="L22" s="72">
        <v>151.0</v>
      </c>
    </row>
    <row r="41">
      <c r="I41" s="89" t="s">
        <v>90</v>
      </c>
    </row>
    <row r="42">
      <c r="A42" s="90"/>
      <c r="B42" s="91" t="s">
        <v>91</v>
      </c>
      <c r="G42" s="90"/>
      <c r="H42" s="90"/>
      <c r="I42" s="92"/>
      <c r="J42" s="92"/>
      <c r="K42" s="93" t="s">
        <v>92</v>
      </c>
      <c r="N42" s="93" t="s">
        <v>93</v>
      </c>
      <c r="Q42" s="90"/>
      <c r="R42" s="90"/>
      <c r="S42" s="90"/>
      <c r="T42" s="90"/>
      <c r="U42" s="90"/>
      <c r="V42" s="90"/>
      <c r="W42" s="90"/>
      <c r="X42" s="90"/>
      <c r="Y42" s="90"/>
      <c r="Z42" s="90"/>
    </row>
    <row r="43">
      <c r="A43" s="90"/>
      <c r="B43" s="93" t="s">
        <v>94</v>
      </c>
      <c r="C43" s="93" t="s">
        <v>95</v>
      </c>
      <c r="D43" s="93" t="s">
        <v>96</v>
      </c>
      <c r="E43" s="93" t="s">
        <v>97</v>
      </c>
      <c r="F43" s="93" t="s">
        <v>98</v>
      </c>
      <c r="G43" s="90"/>
      <c r="H43" s="90"/>
      <c r="I43" s="93" t="s">
        <v>94</v>
      </c>
      <c r="J43" s="93" t="s">
        <v>95</v>
      </c>
      <c r="K43" s="93" t="s">
        <v>96</v>
      </c>
      <c r="L43" s="93" t="s">
        <v>97</v>
      </c>
      <c r="M43" s="93" t="s">
        <v>98</v>
      </c>
      <c r="N43" s="93" t="s">
        <v>96</v>
      </c>
      <c r="O43" s="93" t="s">
        <v>97</v>
      </c>
      <c r="P43" s="93" t="s">
        <v>98</v>
      </c>
      <c r="Q43" s="90"/>
      <c r="R43" s="90"/>
      <c r="S43" s="90"/>
      <c r="T43" s="90"/>
      <c r="U43" s="90"/>
      <c r="V43" s="90"/>
      <c r="W43" s="90"/>
      <c r="X43" s="90"/>
      <c r="Y43" s="90"/>
      <c r="Z43" s="90"/>
    </row>
    <row r="44">
      <c r="A44" s="90"/>
      <c r="B44" s="94" t="s">
        <v>99</v>
      </c>
      <c r="C44" s="95" t="s">
        <v>100</v>
      </c>
      <c r="D44" s="96">
        <v>3.15</v>
      </c>
      <c r="E44" s="96">
        <v>3.92</v>
      </c>
      <c r="F44" s="96">
        <v>3.92</v>
      </c>
      <c r="G44" s="90"/>
      <c r="H44" s="90"/>
      <c r="I44" s="94" t="s">
        <v>99</v>
      </c>
      <c r="J44" s="95" t="s">
        <v>100</v>
      </c>
      <c r="K44" s="96">
        <v>2.91</v>
      </c>
      <c r="L44" s="96">
        <v>3.68</v>
      </c>
      <c r="M44" s="96">
        <v>3.68</v>
      </c>
      <c r="N44" s="96">
        <v>2.91</v>
      </c>
      <c r="O44" s="96">
        <v>3.73</v>
      </c>
      <c r="P44" s="96">
        <v>3.99</v>
      </c>
      <c r="Q44" s="90"/>
      <c r="R44" s="90"/>
      <c r="S44" s="90"/>
      <c r="T44" s="90"/>
      <c r="U44" s="90"/>
      <c r="V44" s="90"/>
      <c r="W44" s="90"/>
      <c r="X44" s="90"/>
      <c r="Y44" s="90"/>
      <c r="Z44" s="90"/>
    </row>
    <row r="45">
      <c r="A45" s="90"/>
      <c r="C45" s="95" t="s">
        <v>101</v>
      </c>
      <c r="D45" s="96">
        <v>3.39</v>
      </c>
      <c r="E45" s="96">
        <v>4.16</v>
      </c>
      <c r="F45" s="96">
        <v>4.16</v>
      </c>
      <c r="G45" s="90"/>
      <c r="H45" s="90"/>
      <c r="J45" s="95" t="s">
        <v>101</v>
      </c>
      <c r="K45" s="96">
        <v>3.13</v>
      </c>
      <c r="L45" s="96">
        <v>3.9</v>
      </c>
      <c r="M45" s="96">
        <v>3.9</v>
      </c>
      <c r="N45" s="96">
        <v>3.13</v>
      </c>
      <c r="O45" s="96">
        <v>3.95</v>
      </c>
      <c r="P45" s="96">
        <v>4.21</v>
      </c>
      <c r="Q45" s="90"/>
      <c r="R45" s="90"/>
      <c r="S45" s="90"/>
      <c r="T45" s="90"/>
      <c r="U45" s="90"/>
      <c r="V45" s="90"/>
      <c r="W45" s="90"/>
      <c r="X45" s="90"/>
      <c r="Y45" s="90"/>
      <c r="Z45" s="90"/>
    </row>
    <row r="46">
      <c r="A46" s="90"/>
      <c r="C46" s="95" t="s">
        <v>102</v>
      </c>
      <c r="D46" s="96">
        <v>3.66</v>
      </c>
      <c r="E46" s="96">
        <v>4.43</v>
      </c>
      <c r="F46" s="96">
        <v>4.43</v>
      </c>
      <c r="G46" s="90"/>
      <c r="H46" s="90"/>
      <c r="J46" s="95" t="s">
        <v>102</v>
      </c>
      <c r="K46" s="96">
        <v>3.38</v>
      </c>
      <c r="L46" s="96">
        <v>4.15</v>
      </c>
      <c r="M46" s="96">
        <v>4.15</v>
      </c>
      <c r="N46" s="96">
        <v>3.38</v>
      </c>
      <c r="O46" s="96">
        <v>4.2</v>
      </c>
      <c r="P46" s="96">
        <v>4.46</v>
      </c>
      <c r="Q46" s="90"/>
      <c r="R46" s="90"/>
      <c r="S46" s="90"/>
      <c r="T46" s="90"/>
      <c r="U46" s="90"/>
      <c r="V46" s="90"/>
      <c r="W46" s="90"/>
      <c r="X46" s="90"/>
      <c r="Y46" s="90"/>
      <c r="Z46" s="90"/>
    </row>
    <row r="47">
      <c r="A47" s="90"/>
      <c r="C47" s="95" t="s">
        <v>103</v>
      </c>
      <c r="D47" s="96">
        <v>4.07</v>
      </c>
      <c r="E47" s="96">
        <v>4.84</v>
      </c>
      <c r="F47" s="96">
        <v>4.84</v>
      </c>
      <c r="G47" s="90"/>
      <c r="H47" s="90"/>
      <c r="J47" s="95" t="s">
        <v>103</v>
      </c>
      <c r="K47" s="96">
        <v>3.78</v>
      </c>
      <c r="L47" s="96">
        <v>4.55</v>
      </c>
      <c r="M47" s="96">
        <v>4.55</v>
      </c>
      <c r="N47" s="96">
        <v>3.78</v>
      </c>
      <c r="O47" s="96">
        <v>4.6</v>
      </c>
      <c r="P47" s="96">
        <v>4.86</v>
      </c>
      <c r="Q47" s="90"/>
      <c r="R47" s="90"/>
      <c r="S47" s="90"/>
      <c r="T47" s="90"/>
      <c r="U47" s="90"/>
      <c r="V47" s="90"/>
      <c r="W47" s="90"/>
      <c r="X47" s="90"/>
      <c r="Y47" s="90"/>
      <c r="Z47" s="90"/>
    </row>
    <row r="48">
      <c r="A48" s="90"/>
      <c r="C48" s="95" t="s">
        <v>104</v>
      </c>
      <c r="D48" s="96">
        <v>4.52</v>
      </c>
      <c r="E48" s="96">
        <v>5.29</v>
      </c>
      <c r="F48" s="96">
        <v>5.29</v>
      </c>
      <c r="G48" s="90"/>
      <c r="H48" s="90"/>
      <c r="J48" s="95" t="s">
        <v>104</v>
      </c>
      <c r="K48" s="96">
        <v>4.22</v>
      </c>
      <c r="L48" s="96">
        <v>4.99</v>
      </c>
      <c r="M48" s="96">
        <v>4.99</v>
      </c>
      <c r="N48" s="96">
        <v>4.22</v>
      </c>
      <c r="O48" s="96">
        <v>5.04</v>
      </c>
      <c r="P48" s="96">
        <v>5.3</v>
      </c>
      <c r="Q48" s="90"/>
      <c r="R48" s="90"/>
      <c r="S48" s="90"/>
      <c r="T48" s="90"/>
      <c r="U48" s="90"/>
      <c r="V48" s="90"/>
      <c r="W48" s="90"/>
      <c r="X48" s="90"/>
      <c r="Y48" s="90"/>
      <c r="Z48" s="90"/>
    </row>
    <row r="49">
      <c r="A49" s="90"/>
      <c r="C49" s="95" t="s">
        <v>105</v>
      </c>
      <c r="D49" s="96">
        <v>4.91</v>
      </c>
      <c r="E49" s="96">
        <v>5.68</v>
      </c>
      <c r="F49" s="96">
        <v>5.68</v>
      </c>
      <c r="G49" s="90"/>
      <c r="H49" s="90"/>
      <c r="J49" s="95" t="s">
        <v>105</v>
      </c>
      <c r="K49" s="96">
        <v>4.6</v>
      </c>
      <c r="L49" s="96">
        <v>5.37</v>
      </c>
      <c r="M49" s="96">
        <v>5.37</v>
      </c>
      <c r="N49" s="96">
        <v>4.6</v>
      </c>
      <c r="O49" s="96">
        <v>5.42</v>
      </c>
      <c r="P49" s="96">
        <v>5.68</v>
      </c>
      <c r="Q49" s="90"/>
      <c r="R49" s="90"/>
      <c r="S49" s="90"/>
      <c r="T49" s="90"/>
      <c r="U49" s="90"/>
      <c r="V49" s="90"/>
      <c r="W49" s="90"/>
      <c r="X49" s="90"/>
      <c r="Y49" s="90"/>
      <c r="Z49" s="90"/>
    </row>
    <row r="50">
      <c r="A50" s="90"/>
      <c r="C50" s="95" t="s">
        <v>106</v>
      </c>
      <c r="D50" s="96">
        <v>5.07</v>
      </c>
      <c r="E50" s="96">
        <v>5.84</v>
      </c>
      <c r="F50" s="96">
        <v>5.84</v>
      </c>
      <c r="G50" s="90"/>
      <c r="H50" s="90"/>
      <c r="J50" s="95" t="s">
        <v>106</v>
      </c>
      <c r="K50" s="96">
        <v>4.75</v>
      </c>
      <c r="L50" s="96">
        <v>5.52</v>
      </c>
      <c r="M50" s="96">
        <v>5.52</v>
      </c>
      <c r="N50" s="96">
        <v>4.75</v>
      </c>
      <c r="O50" s="96">
        <v>5.57</v>
      </c>
      <c r="P50" s="96">
        <v>5.83</v>
      </c>
      <c r="Q50" s="90"/>
      <c r="R50" s="90"/>
      <c r="S50" s="90"/>
      <c r="T50" s="90"/>
      <c r="U50" s="90"/>
      <c r="V50" s="90"/>
      <c r="W50" s="90"/>
      <c r="X50" s="90"/>
      <c r="Y50" s="90"/>
      <c r="Z50" s="90"/>
    </row>
    <row r="51">
      <c r="A51" s="90"/>
      <c r="C51" s="95" t="s">
        <v>107</v>
      </c>
      <c r="D51" s="96">
        <v>5.33</v>
      </c>
      <c r="E51" s="96">
        <v>6.1</v>
      </c>
      <c r="F51" s="96">
        <v>6.1</v>
      </c>
      <c r="G51" s="90"/>
      <c r="H51" s="90"/>
      <c r="J51" s="95" t="s">
        <v>107</v>
      </c>
      <c r="K51" s="96">
        <v>5.0</v>
      </c>
      <c r="L51" s="96">
        <v>5.77</v>
      </c>
      <c r="M51" s="96">
        <v>5.77</v>
      </c>
      <c r="N51" s="96">
        <v>5.0</v>
      </c>
      <c r="O51" s="96">
        <v>5.82</v>
      </c>
      <c r="P51" s="96">
        <v>6.08</v>
      </c>
      <c r="Q51" s="90"/>
      <c r="R51" s="90"/>
      <c r="S51" s="90"/>
      <c r="T51" s="90"/>
      <c r="U51" s="90"/>
      <c r="V51" s="90"/>
      <c r="W51" s="90"/>
      <c r="X51" s="90"/>
      <c r="Y51" s="90"/>
      <c r="Z51" s="90"/>
    </row>
    <row r="52">
      <c r="A52" s="90"/>
      <c r="C52" s="95" t="s">
        <v>108</v>
      </c>
      <c r="D52" s="96">
        <v>5.47</v>
      </c>
      <c r="E52" s="96">
        <v>6.24</v>
      </c>
      <c r="F52" s="96">
        <v>6.24</v>
      </c>
      <c r="G52" s="90"/>
      <c r="H52" s="90"/>
      <c r="J52" s="95" t="s">
        <v>108</v>
      </c>
      <c r="K52" s="96">
        <v>5.1</v>
      </c>
      <c r="L52" s="96">
        <v>5.87</v>
      </c>
      <c r="M52" s="96">
        <v>5.87</v>
      </c>
      <c r="N52" s="96">
        <v>5.1</v>
      </c>
      <c r="O52" s="96">
        <v>5.92</v>
      </c>
      <c r="P52" s="96">
        <v>6.18</v>
      </c>
      <c r="Q52" s="90"/>
      <c r="R52" s="90"/>
      <c r="S52" s="90"/>
      <c r="T52" s="90"/>
      <c r="U52" s="90"/>
      <c r="V52" s="90"/>
      <c r="W52" s="90"/>
      <c r="X52" s="90"/>
      <c r="Y52" s="90"/>
      <c r="Z52" s="90"/>
    </row>
    <row r="53">
      <c r="A53" s="90"/>
      <c r="C53" s="95" t="s">
        <v>109</v>
      </c>
      <c r="D53" s="96">
        <v>5.67</v>
      </c>
      <c r="E53" s="96">
        <v>6.44</v>
      </c>
      <c r="F53" s="96">
        <v>6.44</v>
      </c>
      <c r="G53" s="90"/>
      <c r="H53" s="90"/>
      <c r="J53" s="95" t="s">
        <v>109</v>
      </c>
      <c r="K53" s="96">
        <v>5.28</v>
      </c>
      <c r="L53" s="96">
        <v>6.05</v>
      </c>
      <c r="M53" s="96">
        <v>6.05</v>
      </c>
      <c r="N53" s="96">
        <v>5.28</v>
      </c>
      <c r="O53" s="96">
        <v>6.1</v>
      </c>
      <c r="P53" s="96">
        <v>6.36</v>
      </c>
      <c r="Q53" s="90"/>
      <c r="R53" s="90"/>
      <c r="S53" s="90"/>
      <c r="T53" s="90"/>
      <c r="U53" s="90"/>
      <c r="V53" s="90"/>
      <c r="W53" s="90"/>
      <c r="X53" s="90"/>
      <c r="Y53" s="90"/>
      <c r="Z53" s="90"/>
    </row>
    <row r="54">
      <c r="A54" s="90"/>
      <c r="C54" s="95" t="s">
        <v>110</v>
      </c>
      <c r="D54" s="96">
        <v>5.84</v>
      </c>
      <c r="E54" s="96">
        <v>6.61</v>
      </c>
      <c r="F54" s="96">
        <v>6.61</v>
      </c>
      <c r="G54" s="90"/>
      <c r="H54" s="90"/>
      <c r="J54" s="95" t="s">
        <v>110</v>
      </c>
      <c r="K54" s="96">
        <v>5.44</v>
      </c>
      <c r="L54" s="96">
        <v>6.21</v>
      </c>
      <c r="M54" s="96">
        <v>6.21</v>
      </c>
      <c r="N54" s="96">
        <v>5.44</v>
      </c>
      <c r="O54" s="96">
        <v>6.26</v>
      </c>
      <c r="P54" s="96">
        <v>6.52</v>
      </c>
      <c r="Q54" s="90"/>
      <c r="R54" s="90"/>
      <c r="S54" s="90"/>
      <c r="T54" s="90"/>
      <c r="U54" s="90"/>
      <c r="V54" s="90"/>
      <c r="W54" s="90"/>
      <c r="X54" s="90"/>
      <c r="Y54" s="90"/>
      <c r="Z54" s="90"/>
    </row>
    <row r="55">
      <c r="A55" s="90"/>
      <c r="C55" s="95" t="s">
        <v>111</v>
      </c>
      <c r="D55" s="96">
        <v>6.26</v>
      </c>
      <c r="E55" s="96">
        <v>7.03</v>
      </c>
      <c r="F55" s="96">
        <v>7.03</v>
      </c>
      <c r="G55" s="90"/>
      <c r="H55" s="90"/>
      <c r="J55" s="95" t="s">
        <v>111</v>
      </c>
      <c r="K55" s="96">
        <v>5.85</v>
      </c>
      <c r="L55" s="96">
        <v>6.62</v>
      </c>
      <c r="M55" s="96">
        <v>6.62</v>
      </c>
      <c r="N55" s="96">
        <v>5.85</v>
      </c>
      <c r="O55" s="96">
        <v>6.67</v>
      </c>
      <c r="P55" s="96">
        <v>6.93</v>
      </c>
      <c r="Q55" s="90"/>
      <c r="R55" s="90"/>
      <c r="S55" s="90"/>
      <c r="T55" s="90"/>
      <c r="U55" s="90"/>
      <c r="V55" s="90"/>
      <c r="W55" s="90"/>
      <c r="X55" s="90"/>
      <c r="Y55" s="90"/>
      <c r="Z55" s="90"/>
    </row>
    <row r="56">
      <c r="A56" s="90"/>
      <c r="C56" s="95" t="s">
        <v>112</v>
      </c>
      <c r="D56" s="95" t="s">
        <v>113</v>
      </c>
      <c r="E56" s="95" t="s">
        <v>114</v>
      </c>
      <c r="F56" s="95" t="s">
        <v>114</v>
      </c>
      <c r="G56" s="90"/>
      <c r="H56" s="90"/>
      <c r="J56" s="95" t="s">
        <v>112</v>
      </c>
      <c r="K56" s="95" t="s">
        <v>115</v>
      </c>
      <c r="L56" s="95" t="s">
        <v>116</v>
      </c>
      <c r="M56" s="95" t="s">
        <v>116</v>
      </c>
      <c r="N56" s="95" t="s">
        <v>115</v>
      </c>
      <c r="O56" s="95" t="s">
        <v>117</v>
      </c>
      <c r="P56" s="95" t="s">
        <v>118</v>
      </c>
      <c r="Q56" s="90"/>
      <c r="R56" s="90"/>
      <c r="S56" s="90"/>
      <c r="T56" s="90"/>
      <c r="U56" s="90"/>
      <c r="V56" s="90"/>
      <c r="W56" s="90"/>
      <c r="X56" s="90"/>
      <c r="Y56" s="90"/>
      <c r="Z56" s="90"/>
    </row>
    <row r="57">
      <c r="A57" s="90"/>
      <c r="B57" s="94" t="s">
        <v>119</v>
      </c>
      <c r="C57" s="95" t="s">
        <v>120</v>
      </c>
      <c r="D57" s="95" t="s">
        <v>121</v>
      </c>
      <c r="E57" s="95" t="s">
        <v>122</v>
      </c>
      <c r="F57" s="95" t="s">
        <v>122</v>
      </c>
      <c r="G57" s="90"/>
      <c r="H57" s="90"/>
      <c r="I57" s="94" t="s">
        <v>119</v>
      </c>
      <c r="J57" s="95" t="s">
        <v>120</v>
      </c>
      <c r="K57" s="95" t="s">
        <v>123</v>
      </c>
      <c r="L57" s="95" t="s">
        <v>124</v>
      </c>
      <c r="M57" s="95" t="s">
        <v>124</v>
      </c>
      <c r="N57" s="95" t="s">
        <v>125</v>
      </c>
      <c r="O57" s="95" t="s">
        <v>126</v>
      </c>
      <c r="P57" s="95" t="s">
        <v>126</v>
      </c>
      <c r="Q57" s="90"/>
      <c r="R57" s="90"/>
      <c r="S57" s="90"/>
      <c r="T57" s="90"/>
      <c r="U57" s="90"/>
      <c r="V57" s="90"/>
      <c r="W57" s="90"/>
      <c r="X57" s="90"/>
      <c r="Y57" s="90"/>
      <c r="Z57" s="90"/>
    </row>
    <row r="58">
      <c r="I58" s="94" t="s">
        <v>127</v>
      </c>
      <c r="J58" s="95" t="s">
        <v>120</v>
      </c>
      <c r="K58" s="95" t="s">
        <v>123</v>
      </c>
      <c r="L58" s="95" t="s">
        <v>124</v>
      </c>
      <c r="M58" s="95" t="s">
        <v>124</v>
      </c>
      <c r="N58" s="95" t="s">
        <v>128</v>
      </c>
      <c r="O58" s="95" t="s">
        <v>129</v>
      </c>
      <c r="P58" s="95" t="s">
        <v>129</v>
      </c>
    </row>
    <row r="59">
      <c r="I59" s="94" t="s">
        <v>130</v>
      </c>
      <c r="J59" s="95" t="s">
        <v>120</v>
      </c>
      <c r="K59" s="95" t="s">
        <v>131</v>
      </c>
      <c r="L59" s="95" t="s">
        <v>132</v>
      </c>
      <c r="M59" s="95" t="s">
        <v>132</v>
      </c>
      <c r="N59" s="95" t="s">
        <v>131</v>
      </c>
      <c r="O59" s="95" t="s">
        <v>132</v>
      </c>
      <c r="P59" s="95" t="s">
        <v>132</v>
      </c>
    </row>
    <row r="60">
      <c r="I60" s="94" t="s">
        <v>133</v>
      </c>
      <c r="J60" s="95" t="s">
        <v>134</v>
      </c>
      <c r="K60" s="95" t="s">
        <v>135</v>
      </c>
      <c r="L60" s="95" t="s">
        <v>136</v>
      </c>
      <c r="M60" s="95" t="s">
        <v>136</v>
      </c>
      <c r="N60" s="95" t="s">
        <v>137</v>
      </c>
      <c r="O60" s="95" t="s">
        <v>138</v>
      </c>
      <c r="P60" s="95" t="s">
        <v>138</v>
      </c>
    </row>
    <row r="61">
      <c r="I61" s="94" t="s">
        <v>139</v>
      </c>
      <c r="J61" s="95" t="s">
        <v>140</v>
      </c>
      <c r="K61" s="95" t="s">
        <v>141</v>
      </c>
      <c r="L61" s="95" t="s">
        <v>142</v>
      </c>
      <c r="M61" s="95" t="s">
        <v>142</v>
      </c>
      <c r="N61" s="95" t="s">
        <v>143</v>
      </c>
      <c r="O61" s="95" t="s">
        <v>144</v>
      </c>
      <c r="P61" s="95" t="s">
        <v>144</v>
      </c>
    </row>
    <row r="62">
      <c r="I62" s="97" t="s">
        <v>145</v>
      </c>
      <c r="J62" s="98" t="s">
        <v>146</v>
      </c>
      <c r="K62" s="98" t="s">
        <v>147</v>
      </c>
      <c r="L62" s="98" t="s">
        <v>148</v>
      </c>
      <c r="M62" s="98" t="s">
        <v>148</v>
      </c>
      <c r="N62" s="98" t="s">
        <v>147</v>
      </c>
      <c r="O62" s="98" t="s">
        <v>148</v>
      </c>
      <c r="P62" s="98" t="s">
        <v>148</v>
      </c>
    </row>
    <row r="68">
      <c r="A68" s="90"/>
      <c r="B68" s="93" t="s">
        <v>149</v>
      </c>
      <c r="H68" s="90"/>
      <c r="I68" s="93" t="s">
        <v>150</v>
      </c>
      <c r="O68" s="90"/>
      <c r="P68" s="90"/>
      <c r="Q68" s="90"/>
      <c r="R68" s="90"/>
      <c r="S68" s="90"/>
      <c r="T68" s="90"/>
      <c r="U68" s="90"/>
      <c r="V68" s="90"/>
      <c r="W68" s="90"/>
      <c r="X68" s="90"/>
      <c r="Y68" s="90"/>
      <c r="Z68" s="90"/>
    </row>
    <row r="69">
      <c r="A69" s="90"/>
      <c r="B69" s="93" t="s">
        <v>151</v>
      </c>
      <c r="C69" s="93" t="s">
        <v>152</v>
      </c>
      <c r="D69" s="93" t="s">
        <v>153</v>
      </c>
      <c r="E69" s="93" t="s">
        <v>154</v>
      </c>
      <c r="F69" s="93" t="s">
        <v>155</v>
      </c>
      <c r="G69" s="93" t="s">
        <v>156</v>
      </c>
      <c r="H69" s="90"/>
      <c r="I69" s="93" t="s">
        <v>151</v>
      </c>
      <c r="J69" s="93" t="s">
        <v>152</v>
      </c>
      <c r="K69" s="93" t="s">
        <v>153</v>
      </c>
      <c r="L69" s="93" t="s">
        <v>154</v>
      </c>
      <c r="M69" s="93" t="s">
        <v>155</v>
      </c>
      <c r="N69" s="93" t="s">
        <v>156</v>
      </c>
      <c r="O69" s="90"/>
      <c r="P69" s="90"/>
      <c r="Q69" s="90"/>
      <c r="R69" s="90"/>
      <c r="S69" s="90"/>
      <c r="T69" s="90"/>
      <c r="U69" s="90"/>
      <c r="V69" s="90"/>
      <c r="W69" s="90"/>
      <c r="X69" s="90"/>
      <c r="Y69" s="90"/>
      <c r="Z69" s="90"/>
    </row>
    <row r="70">
      <c r="A70" s="90"/>
      <c r="B70" s="94" t="s">
        <v>157</v>
      </c>
      <c r="C70" s="95" t="s">
        <v>158</v>
      </c>
      <c r="D70" s="95" t="s">
        <v>159</v>
      </c>
      <c r="E70" s="95" t="s">
        <v>160</v>
      </c>
      <c r="F70" s="95" t="s">
        <v>161</v>
      </c>
      <c r="G70" s="95" t="s">
        <v>162</v>
      </c>
      <c r="H70" s="90"/>
      <c r="I70" s="94" t="s">
        <v>157</v>
      </c>
      <c r="J70" s="95" t="s">
        <v>158</v>
      </c>
      <c r="K70" s="95" t="s">
        <v>159</v>
      </c>
      <c r="L70" s="95" t="s">
        <v>160</v>
      </c>
      <c r="M70" s="95" t="s">
        <v>161</v>
      </c>
      <c r="N70" s="95" t="s">
        <v>162</v>
      </c>
      <c r="O70" s="90"/>
      <c r="P70" s="90"/>
      <c r="Q70" s="90"/>
      <c r="R70" s="90"/>
      <c r="S70" s="90"/>
      <c r="T70" s="90"/>
      <c r="U70" s="90"/>
      <c r="V70" s="90"/>
      <c r="W70" s="90"/>
      <c r="X70" s="90"/>
      <c r="Y70" s="90"/>
      <c r="Z70" s="90"/>
    </row>
    <row r="71">
      <c r="A71" s="90"/>
      <c r="B71" s="94" t="s">
        <v>163</v>
      </c>
      <c r="C71" s="95" t="s">
        <v>164</v>
      </c>
      <c r="D71" s="95" t="s">
        <v>165</v>
      </c>
      <c r="E71" s="95" t="s">
        <v>166</v>
      </c>
      <c r="F71" s="95" t="s">
        <v>167</v>
      </c>
      <c r="G71" s="95" t="s">
        <v>162</v>
      </c>
      <c r="H71" s="90"/>
      <c r="I71" s="94" t="s">
        <v>163</v>
      </c>
      <c r="J71" s="95" t="s">
        <v>164</v>
      </c>
      <c r="K71" s="95" t="s">
        <v>165</v>
      </c>
      <c r="L71" s="95" t="s">
        <v>166</v>
      </c>
      <c r="M71" s="95" t="s">
        <v>167</v>
      </c>
      <c r="N71" s="95" t="s">
        <v>162</v>
      </c>
      <c r="O71" s="90"/>
      <c r="P71" s="90"/>
      <c r="Q71" s="90"/>
      <c r="R71" s="90"/>
      <c r="S71" s="90"/>
      <c r="T71" s="90"/>
      <c r="U71" s="90"/>
      <c r="V71" s="90"/>
      <c r="W71" s="90"/>
      <c r="X71" s="90"/>
      <c r="Y71" s="90"/>
      <c r="Z71" s="90"/>
    </row>
    <row r="72">
      <c r="A72" s="90"/>
      <c r="B72" s="94" t="s">
        <v>127</v>
      </c>
      <c r="C72" s="95" t="s">
        <v>168</v>
      </c>
      <c r="D72" s="95" t="s">
        <v>169</v>
      </c>
      <c r="E72" s="95" t="s">
        <v>170</v>
      </c>
      <c r="F72" s="95" t="s">
        <v>170</v>
      </c>
      <c r="G72" s="95" t="s">
        <v>171</v>
      </c>
      <c r="H72" s="90"/>
      <c r="I72" s="94" t="s">
        <v>119</v>
      </c>
      <c r="J72" s="95" t="s">
        <v>168</v>
      </c>
      <c r="K72" s="95" t="s">
        <v>172</v>
      </c>
      <c r="L72" s="95" t="s">
        <v>173</v>
      </c>
      <c r="M72" s="95" t="s">
        <v>174</v>
      </c>
      <c r="N72" s="95" t="s">
        <v>171</v>
      </c>
      <c r="O72" s="90"/>
      <c r="P72" s="90"/>
      <c r="Q72" s="90"/>
      <c r="R72" s="90"/>
      <c r="S72" s="90"/>
      <c r="T72" s="90"/>
      <c r="U72" s="90"/>
      <c r="V72" s="90"/>
      <c r="W72" s="90"/>
      <c r="X72" s="90"/>
      <c r="Y72" s="90"/>
      <c r="Z72" s="90"/>
    </row>
    <row r="73">
      <c r="A73" s="90"/>
      <c r="B73" s="94" t="s">
        <v>175</v>
      </c>
      <c r="C73" s="95" t="s">
        <v>168</v>
      </c>
      <c r="D73" s="95" t="s">
        <v>176</v>
      </c>
      <c r="H73" s="90"/>
      <c r="I73" s="94" t="s">
        <v>127</v>
      </c>
      <c r="J73" s="95" t="s">
        <v>168</v>
      </c>
      <c r="K73" s="95" t="s">
        <v>169</v>
      </c>
      <c r="L73" s="95" t="s">
        <v>170</v>
      </c>
      <c r="M73" s="95" t="s">
        <v>170</v>
      </c>
      <c r="N73" s="95" t="s">
        <v>171</v>
      </c>
      <c r="O73" s="90"/>
      <c r="P73" s="90"/>
      <c r="Q73" s="90"/>
      <c r="R73" s="90"/>
      <c r="S73" s="90"/>
      <c r="T73" s="90"/>
      <c r="U73" s="90"/>
      <c r="V73" s="90"/>
      <c r="W73" s="90"/>
      <c r="X73" s="90"/>
      <c r="Y73" s="90"/>
      <c r="Z73" s="90"/>
    </row>
    <row r="74">
      <c r="A74" s="90"/>
      <c r="B74" s="94" t="s">
        <v>177</v>
      </c>
      <c r="C74" s="95" t="s">
        <v>134</v>
      </c>
      <c r="H74" s="90"/>
      <c r="I74" s="94" t="s">
        <v>175</v>
      </c>
      <c r="J74" s="95" t="s">
        <v>168</v>
      </c>
      <c r="K74" s="95" t="s">
        <v>178</v>
      </c>
      <c r="O74" s="90"/>
      <c r="P74" s="90"/>
      <c r="Q74" s="90"/>
      <c r="R74" s="90"/>
      <c r="S74" s="90"/>
      <c r="T74" s="90"/>
      <c r="U74" s="90"/>
      <c r="V74" s="90"/>
      <c r="W74" s="90"/>
      <c r="X74" s="90"/>
      <c r="Y74" s="90"/>
      <c r="Z74" s="90"/>
    </row>
    <row r="75">
      <c r="A75" s="90"/>
      <c r="B75" s="94" t="s">
        <v>179</v>
      </c>
      <c r="C75" s="95" t="s">
        <v>140</v>
      </c>
      <c r="H75" s="90"/>
      <c r="I75" s="94" t="s">
        <v>177</v>
      </c>
      <c r="J75" s="95" t="s">
        <v>134</v>
      </c>
      <c r="O75" s="90"/>
      <c r="P75" s="90"/>
      <c r="Q75" s="90"/>
      <c r="R75" s="90"/>
      <c r="S75" s="90"/>
      <c r="T75" s="90"/>
      <c r="U75" s="90"/>
      <c r="V75" s="90"/>
      <c r="W75" s="90"/>
      <c r="X75" s="90"/>
      <c r="Y75" s="90"/>
      <c r="Z75" s="90"/>
    </row>
    <row r="76">
      <c r="A76" s="90"/>
      <c r="B76" s="94" t="s">
        <v>180</v>
      </c>
      <c r="C76" s="95" t="s">
        <v>181</v>
      </c>
      <c r="H76" s="90"/>
      <c r="I76" s="94" t="s">
        <v>139</v>
      </c>
      <c r="J76" s="95" t="s">
        <v>140</v>
      </c>
      <c r="O76" s="90"/>
      <c r="P76" s="90"/>
      <c r="Q76" s="90"/>
      <c r="R76" s="90"/>
      <c r="S76" s="90"/>
      <c r="T76" s="90"/>
      <c r="U76" s="90"/>
      <c r="V76" s="90"/>
      <c r="W76" s="90"/>
      <c r="X76" s="90"/>
      <c r="Y76" s="90"/>
      <c r="Z76" s="90"/>
    </row>
    <row r="77">
      <c r="B77" s="99"/>
      <c r="I77" s="97" t="s">
        <v>182</v>
      </c>
      <c r="J77" s="98" t="s">
        <v>181</v>
      </c>
    </row>
  </sheetData>
  <mergeCells count="10">
    <mergeCell ref="B68:G68"/>
    <mergeCell ref="D73:G76"/>
    <mergeCell ref="K74:N77"/>
    <mergeCell ref="I41:P41"/>
    <mergeCell ref="B42:F42"/>
    <mergeCell ref="K42:M42"/>
    <mergeCell ref="N42:P42"/>
    <mergeCell ref="B44:B56"/>
    <mergeCell ref="I44:I56"/>
    <mergeCell ref="I68:N68"/>
  </mergeCells>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pane xSplit="2.0" topLeftCell="C1" activePane="topRight" state="frozen"/>
      <selection activeCell="D2" sqref="D2" pane="topRight"/>
    </sheetView>
  </sheetViews>
  <sheetFormatPr customHeight="1" defaultColWidth="12.63" defaultRowHeight="15.0"/>
  <cols>
    <col customWidth="1" min="1" max="1" width="1.88"/>
    <col customWidth="1" min="2" max="2" width="20.0"/>
    <col customWidth="1" min="3" max="13" width="12.38"/>
    <col customWidth="1" min="14" max="15" width="14.63"/>
    <col customWidth="1" min="16" max="16" width="12.38"/>
    <col customWidth="1" min="17" max="17" width="16.88"/>
    <col customWidth="1" min="18" max="18" width="15.88"/>
    <col customWidth="1" min="19" max="19" width="12.88"/>
    <col customWidth="1" min="20" max="31" width="12.38"/>
    <col customWidth="1" min="32" max="32" width="10.38"/>
    <col customWidth="1" min="33" max="33" width="11.0"/>
    <col customWidth="1" min="34" max="45" width="13.0"/>
  </cols>
  <sheetData>
    <row r="1">
      <c r="A1" s="7"/>
      <c r="B1" s="7"/>
      <c r="Q1" s="7"/>
    </row>
    <row r="2">
      <c r="A2" s="7"/>
      <c r="F2" s="3" t="s">
        <v>0</v>
      </c>
      <c r="M2" s="7" t="s">
        <v>183</v>
      </c>
      <c r="Q2" s="7" t="s">
        <v>184</v>
      </c>
      <c r="R2" s="7" t="s">
        <v>185</v>
      </c>
      <c r="T2" s="7"/>
      <c r="W2" s="7" t="s">
        <v>186</v>
      </c>
    </row>
    <row r="3">
      <c r="F3" s="100">
        <v>7.0</v>
      </c>
      <c r="I3" s="18"/>
      <c r="J3" s="18">
        <v>0.15</v>
      </c>
      <c r="L3" s="18"/>
      <c r="M3" s="19">
        <v>0.15</v>
      </c>
      <c r="N3" s="7"/>
      <c r="O3" s="7"/>
      <c r="Q3" s="19">
        <v>0.25</v>
      </c>
      <c r="R3" s="19">
        <v>0.055</v>
      </c>
      <c r="T3" s="7"/>
      <c r="W3" s="3"/>
      <c r="X3" s="3"/>
      <c r="Y3" s="3"/>
      <c r="Z3" s="3"/>
      <c r="AA3" s="3"/>
      <c r="AB3" s="3"/>
    </row>
    <row r="4" ht="61.5" customHeight="1">
      <c r="A4" s="90"/>
      <c r="B4" s="101" t="s">
        <v>3</v>
      </c>
      <c r="C4" s="101" t="s">
        <v>187</v>
      </c>
      <c r="D4" s="101" t="s">
        <v>188</v>
      </c>
      <c r="E4" s="101" t="s">
        <v>189</v>
      </c>
      <c r="F4" s="101" t="s">
        <v>190</v>
      </c>
      <c r="G4" s="101" t="s">
        <v>191</v>
      </c>
      <c r="H4" s="101" t="s">
        <v>192</v>
      </c>
      <c r="I4" s="101" t="s">
        <v>193</v>
      </c>
      <c r="J4" s="101" t="s">
        <v>194</v>
      </c>
      <c r="K4" s="101" t="s">
        <v>195</v>
      </c>
      <c r="L4" s="101" t="s">
        <v>196</v>
      </c>
      <c r="M4" s="101" t="s">
        <v>197</v>
      </c>
      <c r="N4" s="101" t="s">
        <v>198</v>
      </c>
      <c r="O4" s="101" t="s">
        <v>199</v>
      </c>
      <c r="P4" s="101" t="s">
        <v>200</v>
      </c>
      <c r="Q4" s="101" t="s">
        <v>201</v>
      </c>
      <c r="R4" s="101" t="s">
        <v>202</v>
      </c>
      <c r="S4" s="101" t="s">
        <v>203</v>
      </c>
      <c r="T4" s="101" t="s">
        <v>204</v>
      </c>
      <c r="U4" s="101" t="s">
        <v>205</v>
      </c>
      <c r="V4" s="101" t="s">
        <v>206</v>
      </c>
      <c r="W4" s="101" t="s">
        <v>207</v>
      </c>
      <c r="X4" s="101" t="s">
        <v>208</v>
      </c>
      <c r="Y4" s="101" t="s">
        <v>209</v>
      </c>
      <c r="Z4" s="101" t="s">
        <v>210</v>
      </c>
      <c r="AA4" s="101" t="s">
        <v>211</v>
      </c>
      <c r="AB4" s="101" t="s">
        <v>212</v>
      </c>
      <c r="AC4" s="101" t="s">
        <v>213</v>
      </c>
      <c r="AD4" s="101" t="s">
        <v>214</v>
      </c>
      <c r="AE4" s="101" t="s">
        <v>215</v>
      </c>
      <c r="AF4" s="101" t="s">
        <v>216</v>
      </c>
      <c r="AG4" s="101" t="s">
        <v>217</v>
      </c>
      <c r="AH4" s="101" t="s">
        <v>218</v>
      </c>
      <c r="AI4" s="101" t="s">
        <v>219</v>
      </c>
      <c r="AJ4" s="101" t="s">
        <v>220</v>
      </c>
      <c r="AK4" s="101"/>
      <c r="AL4" s="101"/>
      <c r="AM4" s="101"/>
      <c r="AN4" s="101"/>
      <c r="AO4" s="101"/>
      <c r="AP4" s="101"/>
      <c r="AQ4" s="101"/>
      <c r="AR4" s="101"/>
      <c r="AS4" s="101" t="s">
        <v>221</v>
      </c>
    </row>
    <row r="5">
      <c r="B5" s="102" t="s">
        <v>222</v>
      </c>
      <c r="C5" s="103" t="s">
        <v>223</v>
      </c>
      <c r="D5" s="104">
        <v>19.64</v>
      </c>
      <c r="E5" s="105">
        <f t="shared" ref="E5:E6" si="5">23*6*18/12/12/12</f>
        <v>1.4375</v>
      </c>
      <c r="F5" s="104">
        <f t="shared" ref="F5:F10" si="6">E5*$F$3</f>
        <v>10.0625</v>
      </c>
      <c r="G5" s="106">
        <v>149.99</v>
      </c>
      <c r="H5" s="107">
        <v>26.0</v>
      </c>
      <c r="I5" s="108">
        <f t="shared" ref="I5:I10" si="7">G5*H5</f>
        <v>3899.74</v>
      </c>
      <c r="J5" s="109">
        <f t="shared" ref="J5:J10" si="8">$J$3</f>
        <v>0.15</v>
      </c>
      <c r="K5" s="110">
        <f t="shared" ref="K5:K10" si="9">rounddown(H5*(1-J5),0)</f>
        <v>22</v>
      </c>
      <c r="L5" s="108">
        <f t="shared" ref="L5:L10" si="10">K5*G5</f>
        <v>3299.78</v>
      </c>
      <c r="M5" s="108">
        <f t="shared" ref="M5:M10" si="11">L5*$M$3+3%*(H5-K5)*G5</f>
        <v>512.9658</v>
      </c>
      <c r="N5" s="108">
        <v>16.45</v>
      </c>
      <c r="O5" s="108">
        <f t="shared" ref="O5:O10" si="12">N5*(H5)</f>
        <v>427.7</v>
      </c>
      <c r="P5" s="108">
        <f t="shared" ref="P5:P10" si="13">L5-M5-O5</f>
        <v>2359.1142</v>
      </c>
      <c r="Q5" s="108">
        <f t="shared" ref="Q5:Q10" si="14">I5*$Q$3</f>
        <v>974.935</v>
      </c>
      <c r="R5" s="108">
        <f t="shared" ref="R5:R10" si="15">I5*$R$3</f>
        <v>214.4857</v>
      </c>
      <c r="S5" s="108">
        <f t="shared" ref="S5:S10" si="16">P5-Q5-R5</f>
        <v>1169.6935</v>
      </c>
      <c r="T5" s="104">
        <f t="shared" ref="T5:T10" si="17">F5+D5</f>
        <v>29.7025</v>
      </c>
      <c r="U5" s="106">
        <f t="shared" ref="U5:U10" si="18">D5*(1.02)*(0.25)+D5+F5</f>
        <v>34.7107</v>
      </c>
      <c r="V5" s="106">
        <f t="shared" ref="V5:V10" si="19">D5*(1.02)*(0.5)+D5+F5</f>
        <v>39.7189</v>
      </c>
      <c r="W5" s="111">
        <f t="shared" ref="W5:Y5" si="1">$H5*T5</f>
        <v>772.265</v>
      </c>
      <c r="X5" s="111">
        <f t="shared" si="1"/>
        <v>902.4782</v>
      </c>
      <c r="Y5" s="112">
        <f t="shared" si="1"/>
        <v>1032.6914</v>
      </c>
      <c r="Z5" s="113">
        <f t="shared" ref="Z5:AB5" si="2">$S5-W5</f>
        <v>397.4285</v>
      </c>
      <c r="AA5" s="113">
        <f t="shared" si="2"/>
        <v>267.2153</v>
      </c>
      <c r="AB5" s="113">
        <f t="shared" si="2"/>
        <v>137.0021</v>
      </c>
      <c r="AC5" s="114">
        <f t="shared" ref="AC5:AE5" si="3">Z5/$L5</f>
        <v>0.1204409082</v>
      </c>
      <c r="AD5" s="114">
        <f t="shared" si="3"/>
        <v>0.08097973198</v>
      </c>
      <c r="AE5" s="114">
        <f t="shared" si="3"/>
        <v>0.04151855578</v>
      </c>
      <c r="AF5" s="115">
        <f t="shared" ref="AF5:AF11" si="23">AS5/AG5</f>
        <v>0.05714285714</v>
      </c>
      <c r="AG5" s="116">
        <v>35.0</v>
      </c>
      <c r="AH5" s="117">
        <f t="shared" ref="AH5:AJ5" si="4">W5/$L5</f>
        <v>0.2340352993</v>
      </c>
      <c r="AI5" s="117">
        <f t="shared" si="4"/>
        <v>0.2734964755</v>
      </c>
      <c r="AJ5" s="117">
        <f t="shared" si="4"/>
        <v>0.3129576517</v>
      </c>
      <c r="AK5" s="116"/>
      <c r="AL5" s="116"/>
      <c r="AM5" s="116"/>
      <c r="AN5" s="116"/>
      <c r="AO5" s="116"/>
      <c r="AP5" s="116"/>
      <c r="AQ5" s="116"/>
      <c r="AR5" s="116"/>
      <c r="AS5" s="116">
        <v>2.0</v>
      </c>
    </row>
    <row r="6">
      <c r="B6" s="102" t="s">
        <v>224</v>
      </c>
      <c r="C6" s="103" t="s">
        <v>223</v>
      </c>
      <c r="D6" s="104">
        <v>19.64</v>
      </c>
      <c r="E6" s="105">
        <f t="shared" si="5"/>
        <v>1.4375</v>
      </c>
      <c r="F6" s="104">
        <f t="shared" si="6"/>
        <v>10.0625</v>
      </c>
      <c r="G6" s="106">
        <v>149.99</v>
      </c>
      <c r="H6" s="107">
        <v>26.0</v>
      </c>
      <c r="I6" s="108">
        <f t="shared" si="7"/>
        <v>3899.74</v>
      </c>
      <c r="J6" s="109">
        <f t="shared" si="8"/>
        <v>0.15</v>
      </c>
      <c r="K6" s="110">
        <f t="shared" si="9"/>
        <v>22</v>
      </c>
      <c r="L6" s="108">
        <f t="shared" si="10"/>
        <v>3299.78</v>
      </c>
      <c r="M6" s="108">
        <f t="shared" si="11"/>
        <v>512.9658</v>
      </c>
      <c r="N6" s="108">
        <v>16.45</v>
      </c>
      <c r="O6" s="108">
        <f t="shared" si="12"/>
        <v>427.7</v>
      </c>
      <c r="P6" s="108">
        <f t="shared" si="13"/>
        <v>2359.1142</v>
      </c>
      <c r="Q6" s="108">
        <f t="shared" si="14"/>
        <v>974.935</v>
      </c>
      <c r="R6" s="108">
        <f t="shared" si="15"/>
        <v>214.4857</v>
      </c>
      <c r="S6" s="108">
        <f t="shared" si="16"/>
        <v>1169.6935</v>
      </c>
      <c r="T6" s="104">
        <f t="shared" si="17"/>
        <v>29.7025</v>
      </c>
      <c r="U6" s="106">
        <f t="shared" si="18"/>
        <v>34.7107</v>
      </c>
      <c r="V6" s="106">
        <f t="shared" si="19"/>
        <v>39.7189</v>
      </c>
      <c r="W6" s="111">
        <f t="shared" ref="W6:Y6" si="20">$H6*T6</f>
        <v>772.265</v>
      </c>
      <c r="X6" s="111">
        <f t="shared" si="20"/>
        <v>902.4782</v>
      </c>
      <c r="Y6" s="112">
        <f t="shared" si="20"/>
        <v>1032.6914</v>
      </c>
      <c r="Z6" s="113">
        <f t="shared" ref="Z6:AB6" si="21">$S6-W6</f>
        <v>397.4285</v>
      </c>
      <c r="AA6" s="113">
        <f t="shared" si="21"/>
        <v>267.2153</v>
      </c>
      <c r="AB6" s="113">
        <f t="shared" si="21"/>
        <v>137.0021</v>
      </c>
      <c r="AC6" s="114">
        <f t="shared" ref="AC6:AE6" si="22">Z6/$L6</f>
        <v>0.1204409082</v>
      </c>
      <c r="AD6" s="114">
        <f t="shared" si="22"/>
        <v>0.08097973198</v>
      </c>
      <c r="AE6" s="114">
        <f t="shared" si="22"/>
        <v>0.04151855578</v>
      </c>
      <c r="AF6" s="115">
        <f t="shared" si="23"/>
        <v>0.08108108108</v>
      </c>
      <c r="AG6" s="116">
        <v>37.0</v>
      </c>
      <c r="AH6" s="117">
        <f t="shared" ref="AH6:AH11" si="28">W6/L6</f>
        <v>0.2340352993</v>
      </c>
      <c r="AI6" s="117">
        <f t="shared" ref="AI6:AJ6" si="24">X6/$L6</f>
        <v>0.2734964755</v>
      </c>
      <c r="AJ6" s="117">
        <f t="shared" si="24"/>
        <v>0.3129576517</v>
      </c>
      <c r="AK6" s="116"/>
      <c r="AL6" s="116"/>
      <c r="AM6" s="116"/>
      <c r="AN6" s="116"/>
      <c r="AO6" s="116"/>
      <c r="AP6" s="116"/>
      <c r="AQ6" s="116"/>
      <c r="AR6" s="116"/>
      <c r="AS6" s="116">
        <v>3.0</v>
      </c>
    </row>
    <row r="7">
      <c r="B7" s="102" t="s">
        <v>225</v>
      </c>
      <c r="C7" s="103" t="s">
        <v>226</v>
      </c>
      <c r="D7" s="104">
        <v>17.26</v>
      </c>
      <c r="E7" s="105">
        <f>14.5*14.5*26.5/12/12/12</f>
        <v>3.224320023</v>
      </c>
      <c r="F7" s="104">
        <f t="shared" si="6"/>
        <v>22.57024016</v>
      </c>
      <c r="G7" s="106">
        <v>149.99</v>
      </c>
      <c r="H7" s="107">
        <v>21.0</v>
      </c>
      <c r="I7" s="108">
        <f t="shared" si="7"/>
        <v>3149.79</v>
      </c>
      <c r="J7" s="109">
        <f t="shared" si="8"/>
        <v>0.15</v>
      </c>
      <c r="K7" s="110">
        <f t="shared" si="9"/>
        <v>17</v>
      </c>
      <c r="L7" s="108">
        <f t="shared" si="10"/>
        <v>2549.83</v>
      </c>
      <c r="M7" s="108">
        <f t="shared" si="11"/>
        <v>400.4733</v>
      </c>
      <c r="N7" s="108">
        <v>25.95</v>
      </c>
      <c r="O7" s="108">
        <f t="shared" si="12"/>
        <v>544.95</v>
      </c>
      <c r="P7" s="108">
        <f t="shared" si="13"/>
        <v>1604.4067</v>
      </c>
      <c r="Q7" s="108">
        <f t="shared" si="14"/>
        <v>787.4475</v>
      </c>
      <c r="R7" s="108">
        <f t="shared" si="15"/>
        <v>173.23845</v>
      </c>
      <c r="S7" s="108">
        <f t="shared" si="16"/>
        <v>643.72075</v>
      </c>
      <c r="T7" s="104">
        <f t="shared" si="17"/>
        <v>39.83024016</v>
      </c>
      <c r="U7" s="106">
        <f t="shared" si="18"/>
        <v>44.23154016</v>
      </c>
      <c r="V7" s="106">
        <f t="shared" si="19"/>
        <v>48.63284016</v>
      </c>
      <c r="W7" s="111">
        <f t="shared" ref="W7:Y7" si="25">$H7*T7</f>
        <v>836.4350434</v>
      </c>
      <c r="X7" s="111">
        <f t="shared" si="25"/>
        <v>928.8623434</v>
      </c>
      <c r="Y7" s="112">
        <f t="shared" si="25"/>
        <v>1021.289643</v>
      </c>
      <c r="Z7" s="113">
        <f t="shared" ref="Z7:AB7" si="26">$S7-W7</f>
        <v>-192.7142934</v>
      </c>
      <c r="AA7" s="113">
        <f t="shared" si="26"/>
        <v>-285.1415934</v>
      </c>
      <c r="AB7" s="113">
        <f t="shared" si="26"/>
        <v>-377.5688934</v>
      </c>
      <c r="AC7" s="114">
        <f t="shared" ref="AC7:AE7" si="27">Z7/$L7</f>
        <v>-0.07557927133</v>
      </c>
      <c r="AD7" s="114">
        <f t="shared" si="27"/>
        <v>-0.1118276879</v>
      </c>
      <c r="AE7" s="114">
        <f t="shared" si="27"/>
        <v>-0.1480761044</v>
      </c>
      <c r="AF7" s="115">
        <f t="shared" si="23"/>
        <v>0.1369863014</v>
      </c>
      <c r="AG7" s="116">
        <v>73.0</v>
      </c>
      <c r="AH7" s="117">
        <f t="shared" si="28"/>
        <v>0.3280356116</v>
      </c>
      <c r="AI7" s="117">
        <f t="shared" ref="AI7:AJ7" si="29">X7/$L7</f>
        <v>0.3642840281</v>
      </c>
      <c r="AJ7" s="117">
        <f t="shared" si="29"/>
        <v>0.4005324447</v>
      </c>
      <c r="AK7" s="116"/>
      <c r="AL7" s="116"/>
      <c r="AM7" s="116"/>
      <c r="AN7" s="116"/>
      <c r="AO7" s="116"/>
      <c r="AP7" s="116"/>
      <c r="AQ7" s="116"/>
      <c r="AR7" s="116"/>
      <c r="AS7" s="116">
        <v>10.0</v>
      </c>
    </row>
    <row r="8">
      <c r="B8" s="102" t="s">
        <v>227</v>
      </c>
      <c r="C8" s="103" t="s">
        <v>226</v>
      </c>
      <c r="D8" s="104">
        <v>14.88</v>
      </c>
      <c r="E8" s="105">
        <f>14*14*26/12/12/12</f>
        <v>2.949074074</v>
      </c>
      <c r="F8" s="104">
        <f t="shared" si="6"/>
        <v>20.64351852</v>
      </c>
      <c r="G8" s="106">
        <v>139.99</v>
      </c>
      <c r="H8" s="107">
        <v>16.0</v>
      </c>
      <c r="I8" s="108">
        <f t="shared" si="7"/>
        <v>2239.84</v>
      </c>
      <c r="J8" s="109">
        <f t="shared" si="8"/>
        <v>0.15</v>
      </c>
      <c r="K8" s="110">
        <f t="shared" si="9"/>
        <v>13</v>
      </c>
      <c r="L8" s="108">
        <f t="shared" si="10"/>
        <v>1819.87</v>
      </c>
      <c r="M8" s="108">
        <f t="shared" si="11"/>
        <v>285.5796</v>
      </c>
      <c r="N8" s="108">
        <v>24.43</v>
      </c>
      <c r="O8" s="108">
        <f t="shared" si="12"/>
        <v>390.88</v>
      </c>
      <c r="P8" s="108">
        <f t="shared" si="13"/>
        <v>1143.4104</v>
      </c>
      <c r="Q8" s="108">
        <f t="shared" si="14"/>
        <v>559.96</v>
      </c>
      <c r="R8" s="108">
        <f t="shared" si="15"/>
        <v>123.1912</v>
      </c>
      <c r="S8" s="108">
        <f t="shared" si="16"/>
        <v>460.2592</v>
      </c>
      <c r="T8" s="104">
        <f t="shared" si="17"/>
        <v>35.52351852</v>
      </c>
      <c r="U8" s="106">
        <f t="shared" si="18"/>
        <v>39.31791852</v>
      </c>
      <c r="V8" s="106">
        <f t="shared" si="19"/>
        <v>43.11231852</v>
      </c>
      <c r="W8" s="111">
        <f t="shared" ref="W8:Y8" si="30">$H8*T8</f>
        <v>568.3762963</v>
      </c>
      <c r="X8" s="111">
        <f t="shared" si="30"/>
        <v>629.0866963</v>
      </c>
      <c r="Y8" s="112">
        <f t="shared" si="30"/>
        <v>689.7970963</v>
      </c>
      <c r="Z8" s="113">
        <f t="shared" ref="Z8:AB8" si="31">$S8-W8</f>
        <v>-108.1170963</v>
      </c>
      <c r="AA8" s="113">
        <f t="shared" si="31"/>
        <v>-168.8274963</v>
      </c>
      <c r="AB8" s="113">
        <f t="shared" si="31"/>
        <v>-229.5378963</v>
      </c>
      <c r="AC8" s="114">
        <f t="shared" ref="AC8:AE8" si="32">Z8/$L8</f>
        <v>-0.05940924148</v>
      </c>
      <c r="AD8" s="114">
        <f t="shared" si="32"/>
        <v>-0.09276898696</v>
      </c>
      <c r="AE8" s="114">
        <f t="shared" si="32"/>
        <v>-0.1261287324</v>
      </c>
      <c r="AF8" s="115">
        <f t="shared" si="23"/>
        <v>0.2051282051</v>
      </c>
      <c r="AG8" s="116">
        <v>39.0</v>
      </c>
      <c r="AH8" s="117">
        <f t="shared" si="28"/>
        <v>0.3123169767</v>
      </c>
      <c r="AI8" s="117">
        <f t="shared" ref="AI8:AJ8" si="33">X8/$L8</f>
        <v>0.3456767221</v>
      </c>
      <c r="AJ8" s="117">
        <f t="shared" si="33"/>
        <v>0.3790364676</v>
      </c>
      <c r="AK8" s="116"/>
      <c r="AL8" s="116"/>
      <c r="AM8" s="116"/>
      <c r="AN8" s="116"/>
      <c r="AO8" s="116"/>
      <c r="AP8" s="116"/>
      <c r="AQ8" s="116"/>
      <c r="AR8" s="116"/>
      <c r="AS8" s="116">
        <v>8.0</v>
      </c>
    </row>
    <row r="9">
      <c r="B9" s="102" t="s">
        <v>228</v>
      </c>
      <c r="C9" s="103" t="s">
        <v>223</v>
      </c>
      <c r="D9" s="104">
        <v>51.79</v>
      </c>
      <c r="E9" s="105">
        <f>17.5*19.5*14.5/12/12/12</f>
        <v>2.863498264</v>
      </c>
      <c r="F9" s="104">
        <f t="shared" si="6"/>
        <v>20.04448785</v>
      </c>
      <c r="G9" s="118">
        <v>199.0</v>
      </c>
      <c r="H9" s="107">
        <v>10.0</v>
      </c>
      <c r="I9" s="108">
        <f t="shared" si="7"/>
        <v>1990</v>
      </c>
      <c r="J9" s="109">
        <f t="shared" si="8"/>
        <v>0.15</v>
      </c>
      <c r="K9" s="110">
        <f t="shared" si="9"/>
        <v>8</v>
      </c>
      <c r="L9" s="108">
        <f t="shared" si="10"/>
        <v>1592</v>
      </c>
      <c r="M9" s="108">
        <f t="shared" si="11"/>
        <v>250.74</v>
      </c>
      <c r="N9" s="108">
        <v>21.39</v>
      </c>
      <c r="O9" s="108">
        <f t="shared" si="12"/>
        <v>213.9</v>
      </c>
      <c r="P9" s="108">
        <f t="shared" si="13"/>
        <v>1127.36</v>
      </c>
      <c r="Q9" s="108">
        <f t="shared" si="14"/>
        <v>497.5</v>
      </c>
      <c r="R9" s="108">
        <f t="shared" si="15"/>
        <v>109.45</v>
      </c>
      <c r="S9" s="108">
        <f t="shared" si="16"/>
        <v>520.41</v>
      </c>
      <c r="T9" s="104">
        <f t="shared" si="17"/>
        <v>71.83448785</v>
      </c>
      <c r="U9" s="106">
        <f t="shared" si="18"/>
        <v>85.04093785</v>
      </c>
      <c r="V9" s="106">
        <f t="shared" si="19"/>
        <v>98.24738785</v>
      </c>
      <c r="W9" s="111">
        <f t="shared" ref="W9:Y9" si="34">$H9*T9</f>
        <v>718.3448785</v>
      </c>
      <c r="X9" s="111">
        <f t="shared" si="34"/>
        <v>850.4093785</v>
      </c>
      <c r="Y9" s="112">
        <f t="shared" si="34"/>
        <v>982.4738785</v>
      </c>
      <c r="Z9" s="113">
        <f t="shared" ref="Z9:AB9" si="35">$S9-W9</f>
        <v>-197.9348785</v>
      </c>
      <c r="AA9" s="113">
        <f t="shared" si="35"/>
        <v>-329.9993785</v>
      </c>
      <c r="AB9" s="113">
        <f t="shared" si="35"/>
        <v>-462.0638785</v>
      </c>
      <c r="AC9" s="114">
        <f t="shared" ref="AC9:AE9" si="36">Z9/$L9</f>
        <v>-0.1243309538</v>
      </c>
      <c r="AD9" s="114">
        <f t="shared" si="36"/>
        <v>-0.2072860418</v>
      </c>
      <c r="AE9" s="114">
        <f t="shared" si="36"/>
        <v>-0.2902411297</v>
      </c>
      <c r="AF9" s="115">
        <f t="shared" si="23"/>
        <v>0.3076923077</v>
      </c>
      <c r="AG9" s="116">
        <v>39.0</v>
      </c>
      <c r="AH9" s="117">
        <f t="shared" si="28"/>
        <v>0.4512216573</v>
      </c>
      <c r="AI9" s="117">
        <f t="shared" ref="AI9:AJ9" si="37">X9/$L9</f>
        <v>0.5341767453</v>
      </c>
      <c r="AJ9" s="117">
        <f t="shared" si="37"/>
        <v>0.6171318332</v>
      </c>
      <c r="AK9" s="116"/>
      <c r="AL9" s="116"/>
      <c r="AM9" s="116"/>
      <c r="AN9" s="116"/>
      <c r="AO9" s="116"/>
      <c r="AP9" s="116"/>
      <c r="AQ9" s="116"/>
      <c r="AR9" s="116"/>
      <c r="AS9" s="116">
        <v>12.0</v>
      </c>
    </row>
    <row r="10">
      <c r="B10" s="102" t="s">
        <v>229</v>
      </c>
      <c r="C10" s="103" t="s">
        <v>223</v>
      </c>
      <c r="D10" s="104">
        <v>14.88</v>
      </c>
      <c r="E10" s="105">
        <f>14.5*15*6/12/12/12</f>
        <v>0.7552083333</v>
      </c>
      <c r="F10" s="104">
        <f t="shared" si="6"/>
        <v>5.286458333</v>
      </c>
      <c r="G10" s="106">
        <v>99.99</v>
      </c>
      <c r="H10" s="107">
        <v>18.0</v>
      </c>
      <c r="I10" s="108">
        <f t="shared" si="7"/>
        <v>1799.82</v>
      </c>
      <c r="J10" s="109">
        <f t="shared" si="8"/>
        <v>0.15</v>
      </c>
      <c r="K10" s="110">
        <f t="shared" si="9"/>
        <v>15</v>
      </c>
      <c r="L10" s="108">
        <f t="shared" si="10"/>
        <v>1499.85</v>
      </c>
      <c r="M10" s="108">
        <f t="shared" si="11"/>
        <v>233.9766</v>
      </c>
      <c r="N10" s="108">
        <v>11.71</v>
      </c>
      <c r="O10" s="108">
        <f t="shared" si="12"/>
        <v>210.78</v>
      </c>
      <c r="P10" s="108">
        <f t="shared" si="13"/>
        <v>1055.0934</v>
      </c>
      <c r="Q10" s="108">
        <f t="shared" si="14"/>
        <v>449.955</v>
      </c>
      <c r="R10" s="108">
        <f t="shared" si="15"/>
        <v>98.9901</v>
      </c>
      <c r="S10" s="108">
        <f t="shared" si="16"/>
        <v>506.1483</v>
      </c>
      <c r="T10" s="104">
        <f t="shared" si="17"/>
        <v>20.16645833</v>
      </c>
      <c r="U10" s="106">
        <f t="shared" si="18"/>
        <v>23.96085833</v>
      </c>
      <c r="V10" s="106">
        <f t="shared" si="19"/>
        <v>27.75525833</v>
      </c>
      <c r="W10" s="111">
        <f t="shared" ref="W10:Y10" si="38">$H10*T10</f>
        <v>362.99625</v>
      </c>
      <c r="X10" s="111">
        <f t="shared" si="38"/>
        <v>431.29545</v>
      </c>
      <c r="Y10" s="112">
        <f t="shared" si="38"/>
        <v>499.59465</v>
      </c>
      <c r="Z10" s="113">
        <f t="shared" ref="Z10:AB10" si="39">$S10-W10</f>
        <v>143.15205</v>
      </c>
      <c r="AA10" s="113">
        <f t="shared" si="39"/>
        <v>74.85285</v>
      </c>
      <c r="AB10" s="113">
        <f t="shared" si="39"/>
        <v>6.55365</v>
      </c>
      <c r="AC10" s="114">
        <f t="shared" ref="AC10:AE10" si="40">Z10/$L10</f>
        <v>0.09544424442</v>
      </c>
      <c r="AD10" s="114">
        <f t="shared" si="40"/>
        <v>0.04990689069</v>
      </c>
      <c r="AE10" s="114">
        <f t="shared" si="40"/>
        <v>0.004369536954</v>
      </c>
      <c r="AF10" s="115">
        <f t="shared" si="23"/>
        <v>0.1071428571</v>
      </c>
      <c r="AG10" s="116">
        <v>56.0</v>
      </c>
      <c r="AH10" s="117">
        <f t="shared" si="28"/>
        <v>0.2420217022</v>
      </c>
      <c r="AI10" s="117">
        <f t="shared" ref="AI10:AJ10" si="41">X10/$L10</f>
        <v>0.2875590559</v>
      </c>
      <c r="AJ10" s="117">
        <f t="shared" si="41"/>
        <v>0.3330964096</v>
      </c>
      <c r="AK10" s="116"/>
      <c r="AL10" s="116"/>
      <c r="AM10" s="116"/>
      <c r="AN10" s="116"/>
      <c r="AO10" s="116"/>
      <c r="AP10" s="116"/>
      <c r="AQ10" s="116"/>
      <c r="AR10" s="116"/>
      <c r="AS10" s="116">
        <v>6.0</v>
      </c>
    </row>
    <row r="11">
      <c r="B11" s="119" t="s">
        <v>230</v>
      </c>
      <c r="C11" s="120"/>
      <c r="D11" s="120"/>
      <c r="E11" s="120"/>
      <c r="F11" s="120"/>
      <c r="G11" s="121"/>
      <c r="H11" s="122"/>
      <c r="I11" s="123">
        <f>sum(I5:I10)</f>
        <v>16978.93</v>
      </c>
      <c r="J11" s="124"/>
      <c r="K11" s="124"/>
      <c r="L11" s="123">
        <f t="shared" ref="L11:M11" si="42">sum(L5:L10)</f>
        <v>14061.11</v>
      </c>
      <c r="M11" s="123">
        <f t="shared" si="42"/>
        <v>2196.7011</v>
      </c>
      <c r="N11" s="124"/>
      <c r="O11" s="123">
        <f t="shared" ref="O11:S11" si="43">sum(O5:O10)</f>
        <v>2215.91</v>
      </c>
      <c r="P11" s="123">
        <f t="shared" si="43"/>
        <v>9648.4989</v>
      </c>
      <c r="Q11" s="123">
        <f t="shared" si="43"/>
        <v>4244.7325</v>
      </c>
      <c r="R11" s="123">
        <f t="shared" si="43"/>
        <v>933.84115</v>
      </c>
      <c r="S11" s="123">
        <f t="shared" si="43"/>
        <v>4469.92525</v>
      </c>
      <c r="T11" s="120"/>
      <c r="U11" s="121"/>
      <c r="V11" s="121"/>
      <c r="W11" s="125">
        <f t="shared" ref="W11:AB11" si="44">sum(W5:W10)</f>
        <v>4030.682468</v>
      </c>
      <c r="X11" s="125">
        <f t="shared" si="44"/>
        <v>4644.610268</v>
      </c>
      <c r="Y11" s="125">
        <f t="shared" si="44"/>
        <v>5258.538068</v>
      </c>
      <c r="Z11" s="123">
        <f t="shared" si="44"/>
        <v>439.2427818</v>
      </c>
      <c r="AA11" s="123">
        <f t="shared" si="44"/>
        <v>-174.6850182</v>
      </c>
      <c r="AB11" s="123">
        <f t="shared" si="44"/>
        <v>-788.6128182</v>
      </c>
      <c r="AC11" s="126">
        <f t="shared" ref="AC11:AE11" si="45">Z11/$L11</f>
        <v>0.03123812998</v>
      </c>
      <c r="AD11" s="126">
        <f t="shared" si="45"/>
        <v>-0.01242327371</v>
      </c>
      <c r="AE11" s="126">
        <f t="shared" si="45"/>
        <v>-0.0560846774</v>
      </c>
      <c r="AF11" s="115">
        <f t="shared" si="23"/>
        <v>0.146953405</v>
      </c>
      <c r="AG11" s="127">
        <f>SUM(AG5:AG10)</f>
        <v>279</v>
      </c>
      <c r="AH11" s="117">
        <f t="shared" si="28"/>
        <v>0.2866546431</v>
      </c>
      <c r="AI11" s="117">
        <f t="shared" ref="AI11:AJ11" si="46">X11/$L11</f>
        <v>0.3303160468</v>
      </c>
      <c r="AJ11" s="117">
        <f t="shared" si="46"/>
        <v>0.3739774504</v>
      </c>
      <c r="AK11" s="127"/>
      <c r="AL11" s="127"/>
      <c r="AM11" s="127"/>
      <c r="AN11" s="127"/>
      <c r="AO11" s="127"/>
      <c r="AP11" s="127"/>
      <c r="AQ11" s="127"/>
      <c r="AR11" s="127"/>
      <c r="AS11" s="127">
        <f>SUM(AS5:AS10)</f>
        <v>41</v>
      </c>
    </row>
    <row r="13">
      <c r="M13" s="74"/>
      <c r="N13" s="74"/>
      <c r="O13" s="128"/>
      <c r="S13" s="129" t="s">
        <v>231</v>
      </c>
      <c r="T13" s="130">
        <v>0.1</v>
      </c>
    </row>
    <row r="14">
      <c r="M14" s="74"/>
      <c r="N14" s="74"/>
      <c r="O14" s="128"/>
      <c r="T14" s="18"/>
    </row>
    <row r="15">
      <c r="B15" s="101" t="s">
        <v>3</v>
      </c>
      <c r="M15" s="74"/>
      <c r="N15" s="74"/>
      <c r="O15" s="128"/>
      <c r="T15" s="101" t="s">
        <v>232</v>
      </c>
      <c r="U15" s="101" t="s">
        <v>233</v>
      </c>
      <c r="V15" s="101" t="s">
        <v>234</v>
      </c>
      <c r="W15" s="101" t="s">
        <v>207</v>
      </c>
      <c r="X15" s="101" t="s">
        <v>208</v>
      </c>
      <c r="Y15" s="101" t="s">
        <v>209</v>
      </c>
      <c r="Z15" s="101" t="s">
        <v>210</v>
      </c>
      <c r="AA15" s="101" t="s">
        <v>211</v>
      </c>
      <c r="AB15" s="101" t="s">
        <v>212</v>
      </c>
      <c r="AC15" s="101" t="s">
        <v>213</v>
      </c>
      <c r="AD15" s="101" t="s">
        <v>235</v>
      </c>
      <c r="AE15" s="101" t="s">
        <v>236</v>
      </c>
    </row>
    <row r="16">
      <c r="B16" s="102" t="s">
        <v>222</v>
      </c>
      <c r="E16" s="3"/>
      <c r="F16" s="3"/>
      <c r="G16" s="3"/>
      <c r="M16" s="74"/>
      <c r="N16" s="74"/>
      <c r="O16" s="128"/>
      <c r="T16" s="104">
        <f t="shared" ref="T16:T21" si="50">F5+D5*(1-$T$13)</f>
        <v>27.7385</v>
      </c>
      <c r="U16" s="106">
        <f t="shared" ref="U16:U21" si="51">D5*(1.02)*(1.25)*(1-$T$13)+F5</f>
        <v>32.5994</v>
      </c>
      <c r="V16" s="106">
        <f t="shared" ref="V16:V21" si="52">D5*(1.02)*(1.5)*(1-$T$13)+F5</f>
        <v>37.10678</v>
      </c>
      <c r="W16" s="111">
        <f t="shared" ref="W16:Y16" si="47">$H5*T16</f>
        <v>721.201</v>
      </c>
      <c r="X16" s="111">
        <f t="shared" si="47"/>
        <v>847.5844</v>
      </c>
      <c r="Y16" s="111">
        <f t="shared" si="47"/>
        <v>964.77628</v>
      </c>
      <c r="Z16" s="113">
        <f t="shared" ref="Z16:AB16" si="48">$S5-W16</f>
        <v>448.4925</v>
      </c>
      <c r="AA16" s="113">
        <f t="shared" si="48"/>
        <v>322.1091</v>
      </c>
      <c r="AB16" s="113">
        <f t="shared" si="48"/>
        <v>204.91722</v>
      </c>
      <c r="AC16" s="114">
        <f t="shared" ref="AC16:AE16" si="49">Z16/$L5</f>
        <v>0.1359158792</v>
      </c>
      <c r="AD16" s="114">
        <f t="shared" si="49"/>
        <v>0.09761532587</v>
      </c>
      <c r="AE16" s="114">
        <f t="shared" si="49"/>
        <v>0.06210026729</v>
      </c>
    </row>
    <row r="17">
      <c r="B17" s="102" t="s">
        <v>224</v>
      </c>
      <c r="D17" s="7"/>
      <c r="E17" s="19"/>
      <c r="F17" s="19"/>
      <c r="M17" s="74"/>
      <c r="N17" s="74"/>
      <c r="O17" s="128"/>
      <c r="T17" s="104">
        <f t="shared" si="50"/>
        <v>27.7385</v>
      </c>
      <c r="U17" s="106">
        <f t="shared" si="51"/>
        <v>32.5994</v>
      </c>
      <c r="V17" s="106">
        <f t="shared" si="52"/>
        <v>37.10678</v>
      </c>
      <c r="W17" s="111">
        <f t="shared" ref="W17:Y17" si="53">$H6*T17</f>
        <v>721.201</v>
      </c>
      <c r="X17" s="111">
        <f t="shared" si="53"/>
        <v>847.5844</v>
      </c>
      <c r="Y17" s="111">
        <f t="shared" si="53"/>
        <v>964.77628</v>
      </c>
      <c r="Z17" s="113">
        <f t="shared" ref="Z17:AB17" si="54">$S6-W17</f>
        <v>448.4925</v>
      </c>
      <c r="AA17" s="113">
        <f t="shared" si="54"/>
        <v>322.1091</v>
      </c>
      <c r="AB17" s="113">
        <f t="shared" si="54"/>
        <v>204.91722</v>
      </c>
      <c r="AC17" s="114">
        <f t="shared" ref="AC17:AE17" si="55">Z17/$L6</f>
        <v>0.1359158792</v>
      </c>
      <c r="AD17" s="114">
        <f t="shared" si="55"/>
        <v>0.09761532587</v>
      </c>
      <c r="AE17" s="114">
        <f t="shared" si="55"/>
        <v>0.06210026729</v>
      </c>
    </row>
    <row r="18">
      <c r="B18" s="102" t="s">
        <v>225</v>
      </c>
      <c r="D18" s="7"/>
      <c r="E18" s="19"/>
      <c r="F18" s="19"/>
      <c r="M18" s="74"/>
      <c r="N18" s="74"/>
      <c r="O18" s="128"/>
      <c r="T18" s="104">
        <f t="shared" si="50"/>
        <v>38.10424016</v>
      </c>
      <c r="U18" s="106">
        <f t="shared" si="51"/>
        <v>42.37609016</v>
      </c>
      <c r="V18" s="106">
        <f t="shared" si="52"/>
        <v>46.33726016</v>
      </c>
      <c r="W18" s="111">
        <f t="shared" ref="W18:Y18" si="56">$H7*T18</f>
        <v>800.1890434</v>
      </c>
      <c r="X18" s="111">
        <f t="shared" si="56"/>
        <v>889.8978934</v>
      </c>
      <c r="Y18" s="111">
        <f t="shared" si="56"/>
        <v>973.0824634</v>
      </c>
      <c r="Z18" s="113">
        <f t="shared" ref="Z18:AB18" si="57">$S7-W18</f>
        <v>-156.4682934</v>
      </c>
      <c r="AA18" s="113">
        <f t="shared" si="57"/>
        <v>-246.1771434</v>
      </c>
      <c r="AB18" s="113">
        <f t="shared" si="57"/>
        <v>-329.3617134</v>
      </c>
      <c r="AC18" s="114">
        <f t="shared" ref="AC18:AE18" si="58">Z18/$L7</f>
        <v>-0.06136420601</v>
      </c>
      <c r="AD18" s="114">
        <f t="shared" si="58"/>
        <v>-0.09654649267</v>
      </c>
      <c r="AE18" s="114">
        <f t="shared" si="58"/>
        <v>-0.1291700676</v>
      </c>
    </row>
    <row r="19">
      <c r="B19" s="102" t="s">
        <v>227</v>
      </c>
      <c r="D19" s="7"/>
      <c r="E19" s="19"/>
      <c r="F19" s="19"/>
      <c r="O19" s="128"/>
      <c r="T19" s="104">
        <f t="shared" si="50"/>
        <v>34.03551852</v>
      </c>
      <c r="U19" s="106">
        <f t="shared" si="51"/>
        <v>37.71831852</v>
      </c>
      <c r="V19" s="106">
        <f t="shared" si="52"/>
        <v>41.13327852</v>
      </c>
      <c r="W19" s="111">
        <f t="shared" ref="W19:Y19" si="59">$H8*T19</f>
        <v>544.5682963</v>
      </c>
      <c r="X19" s="111">
        <f t="shared" si="59"/>
        <v>603.4930963</v>
      </c>
      <c r="Y19" s="111">
        <f t="shared" si="59"/>
        <v>658.1324563</v>
      </c>
      <c r="Z19" s="113">
        <f t="shared" ref="Z19:AB19" si="60">$S8-W19</f>
        <v>-84.3090963</v>
      </c>
      <c r="AA19" s="113">
        <f t="shared" si="60"/>
        <v>-143.2338963</v>
      </c>
      <c r="AB19" s="113">
        <f t="shared" si="60"/>
        <v>-197.8732563</v>
      </c>
      <c r="AC19" s="114">
        <f t="shared" ref="AC19:AE19" si="61">Z19/$L8</f>
        <v>-0.04632698835</v>
      </c>
      <c r="AD19" s="114">
        <f t="shared" si="61"/>
        <v>-0.07870556485</v>
      </c>
      <c r="AE19" s="114">
        <f t="shared" si="61"/>
        <v>-0.1087293358</v>
      </c>
    </row>
    <row r="20">
      <c r="B20" s="102" t="s">
        <v>228</v>
      </c>
      <c r="D20" s="131"/>
      <c r="E20" s="132"/>
      <c r="F20" s="132"/>
      <c r="O20" s="128"/>
      <c r="T20" s="104">
        <f t="shared" si="50"/>
        <v>66.65548785</v>
      </c>
      <c r="U20" s="106">
        <f t="shared" si="51"/>
        <v>79.47351285</v>
      </c>
      <c r="V20" s="106">
        <f t="shared" si="52"/>
        <v>91.35931785</v>
      </c>
      <c r="W20" s="111">
        <f t="shared" ref="W20:Y20" si="62">$H9*T20</f>
        <v>666.5548785</v>
      </c>
      <c r="X20" s="111">
        <f t="shared" si="62"/>
        <v>794.7351285</v>
      </c>
      <c r="Y20" s="111">
        <f t="shared" si="62"/>
        <v>913.5931785</v>
      </c>
      <c r="Z20" s="113">
        <f t="shared" ref="Z20:AB20" si="63">$S9-W20</f>
        <v>-146.1448785</v>
      </c>
      <c r="AA20" s="113">
        <f t="shared" si="63"/>
        <v>-274.3251285</v>
      </c>
      <c r="AB20" s="113">
        <f t="shared" si="63"/>
        <v>-393.1831785</v>
      </c>
      <c r="AC20" s="114">
        <f t="shared" ref="AC20:AE20" si="64">Z20/$L9</f>
        <v>-0.09179954678</v>
      </c>
      <c r="AD20" s="114">
        <f t="shared" si="64"/>
        <v>-0.1723147792</v>
      </c>
      <c r="AE20" s="114">
        <f t="shared" si="64"/>
        <v>-0.2469743583</v>
      </c>
    </row>
    <row r="21">
      <c r="B21" s="102" t="s">
        <v>229</v>
      </c>
      <c r="D21" s="131"/>
      <c r="E21" s="132"/>
      <c r="F21" s="132"/>
      <c r="T21" s="104">
        <f t="shared" si="50"/>
        <v>18.67845833</v>
      </c>
      <c r="U21" s="106">
        <f t="shared" si="51"/>
        <v>22.36125833</v>
      </c>
      <c r="V21" s="106">
        <f t="shared" si="52"/>
        <v>25.77621833</v>
      </c>
      <c r="W21" s="111">
        <f t="shared" ref="W21:Y21" si="65">$H10*T21</f>
        <v>336.21225</v>
      </c>
      <c r="X21" s="111">
        <f t="shared" si="65"/>
        <v>402.50265</v>
      </c>
      <c r="Y21" s="111">
        <f t="shared" si="65"/>
        <v>463.97193</v>
      </c>
      <c r="Z21" s="113">
        <f t="shared" ref="Z21:AB21" si="66">$S10-W21</f>
        <v>169.93605</v>
      </c>
      <c r="AA21" s="113">
        <f t="shared" si="66"/>
        <v>103.64565</v>
      </c>
      <c r="AB21" s="113">
        <f t="shared" si="66"/>
        <v>42.17637</v>
      </c>
      <c r="AC21" s="114">
        <f t="shared" ref="AC21:AE21" si="67">Z21/$L10</f>
        <v>0.1133020302</v>
      </c>
      <c r="AD21" s="114">
        <f t="shared" si="67"/>
        <v>0.0691040104</v>
      </c>
      <c r="AE21" s="114">
        <f t="shared" si="67"/>
        <v>0.02812039204</v>
      </c>
    </row>
    <row r="22">
      <c r="B22" s="119" t="s">
        <v>230</v>
      </c>
      <c r="D22" s="7"/>
      <c r="W22" s="125">
        <f t="shared" ref="W22:AB22" si="68">sum(W16:W21)</f>
        <v>3789.926468</v>
      </c>
      <c r="X22" s="125">
        <f t="shared" si="68"/>
        <v>4385.797568</v>
      </c>
      <c r="Y22" s="125">
        <f t="shared" si="68"/>
        <v>4938.332588</v>
      </c>
      <c r="Z22" s="123">
        <f t="shared" si="68"/>
        <v>679.9987818</v>
      </c>
      <c r="AA22" s="123">
        <f t="shared" si="68"/>
        <v>84.12768183</v>
      </c>
      <c r="AB22" s="123">
        <f t="shared" si="68"/>
        <v>-468.4073382</v>
      </c>
      <c r="AC22" s="133">
        <f t="shared" ref="AC22:AE22" si="69">Z22/$L11</f>
        <v>0.04836024907</v>
      </c>
      <c r="AD22" s="133">
        <f t="shared" si="69"/>
        <v>0.005983004317</v>
      </c>
      <c r="AE22" s="133">
        <f t="shared" si="69"/>
        <v>-0.033312259</v>
      </c>
    </row>
    <row r="24">
      <c r="H24" s="7">
        <v>30.0</v>
      </c>
      <c r="I24" s="7">
        <v>79.99</v>
      </c>
      <c r="J24" s="70">
        <f t="shared" ref="J24:J44" si="70">H24*I24</f>
        <v>2399.7</v>
      </c>
      <c r="T24" s="134" t="s">
        <v>237</v>
      </c>
    </row>
    <row r="25">
      <c r="D25" s="7"/>
      <c r="H25" s="7">
        <v>2.0</v>
      </c>
      <c r="I25" s="7">
        <v>699.99</v>
      </c>
      <c r="J25" s="70">
        <f t="shared" si="70"/>
        <v>1399.98</v>
      </c>
    </row>
    <row r="26">
      <c r="H26" s="7">
        <v>4.0</v>
      </c>
      <c r="I26" s="7">
        <v>169.99</v>
      </c>
      <c r="J26" s="70">
        <f t="shared" si="70"/>
        <v>679.96</v>
      </c>
      <c r="N26" s="74"/>
      <c r="T26" s="88" t="s">
        <v>238</v>
      </c>
    </row>
    <row r="27">
      <c r="H27" s="7">
        <v>32.0</v>
      </c>
      <c r="I27" s="7">
        <v>189.99</v>
      </c>
      <c r="J27" s="70">
        <f t="shared" si="70"/>
        <v>6079.68</v>
      </c>
      <c r="T27" s="7" t="s">
        <v>239</v>
      </c>
    </row>
    <row r="28">
      <c r="H28" s="7">
        <v>22.0</v>
      </c>
      <c r="I28" s="7">
        <v>419.99</v>
      </c>
      <c r="J28" s="70">
        <f t="shared" si="70"/>
        <v>9239.78</v>
      </c>
      <c r="T28" s="7" t="s">
        <v>240</v>
      </c>
    </row>
    <row r="29">
      <c r="H29" s="7">
        <v>24.0</v>
      </c>
      <c r="I29" s="7">
        <v>379.99</v>
      </c>
      <c r="J29" s="70">
        <f t="shared" si="70"/>
        <v>9119.76</v>
      </c>
      <c r="T29" s="7" t="s">
        <v>241</v>
      </c>
    </row>
    <row r="30">
      <c r="H30" s="7">
        <v>34.0</v>
      </c>
      <c r="I30" s="7">
        <v>309.99</v>
      </c>
      <c r="J30" s="70">
        <f t="shared" si="70"/>
        <v>10539.66</v>
      </c>
      <c r="T30" s="7" t="s">
        <v>242</v>
      </c>
    </row>
    <row r="31">
      <c r="H31" s="7">
        <v>26.0</v>
      </c>
      <c r="I31" s="7">
        <v>249.99</v>
      </c>
      <c r="J31" s="70">
        <f t="shared" si="70"/>
        <v>6499.74</v>
      </c>
    </row>
    <row r="32">
      <c r="H32" s="7">
        <v>2.0</v>
      </c>
      <c r="I32" s="70">
        <f>249.99+199.99</f>
        <v>449.98</v>
      </c>
      <c r="J32" s="70">
        <f t="shared" si="70"/>
        <v>899.96</v>
      </c>
      <c r="T32" s="88" t="s">
        <v>243</v>
      </c>
    </row>
    <row r="33">
      <c r="H33" s="7">
        <v>2.0</v>
      </c>
      <c r="I33" s="70">
        <f>199.99+229.99</f>
        <v>429.98</v>
      </c>
      <c r="J33" s="70">
        <f t="shared" si="70"/>
        <v>859.96</v>
      </c>
      <c r="T33" s="7" t="s">
        <v>244</v>
      </c>
    </row>
    <row r="34">
      <c r="H34" s="7">
        <v>17.0</v>
      </c>
      <c r="I34" s="7">
        <v>279.99</v>
      </c>
      <c r="J34" s="70">
        <f t="shared" si="70"/>
        <v>4759.83</v>
      </c>
      <c r="T34" s="7" t="s">
        <v>245</v>
      </c>
    </row>
    <row r="35">
      <c r="H35" s="7">
        <v>4.0</v>
      </c>
      <c r="I35" s="7">
        <v>649.99</v>
      </c>
      <c r="J35" s="70">
        <f t="shared" si="70"/>
        <v>2599.96</v>
      </c>
      <c r="T35" s="7" t="s">
        <v>246</v>
      </c>
    </row>
    <row r="36">
      <c r="H36" s="7">
        <v>2.0</v>
      </c>
      <c r="I36" s="7">
        <v>449.99</v>
      </c>
      <c r="J36" s="70">
        <f t="shared" si="70"/>
        <v>899.98</v>
      </c>
      <c r="T36" s="7" t="s">
        <v>247</v>
      </c>
    </row>
    <row r="37">
      <c r="H37" s="7">
        <v>29.0</v>
      </c>
      <c r="I37" s="7">
        <v>279.99</v>
      </c>
      <c r="J37" s="70">
        <f t="shared" si="70"/>
        <v>8119.71</v>
      </c>
      <c r="T37" s="7" t="s">
        <v>248</v>
      </c>
    </row>
    <row r="38">
      <c r="H38" s="7">
        <v>7.0</v>
      </c>
      <c r="I38" s="7">
        <v>154.99</v>
      </c>
      <c r="J38" s="70">
        <f t="shared" si="70"/>
        <v>1084.93</v>
      </c>
      <c r="T38" s="88" t="s">
        <v>249</v>
      </c>
    </row>
    <row r="39">
      <c r="H39" s="7">
        <v>33.0</v>
      </c>
      <c r="I39" s="7">
        <v>139.99</v>
      </c>
      <c r="J39" s="70">
        <f t="shared" si="70"/>
        <v>4619.67</v>
      </c>
      <c r="T39" s="88"/>
    </row>
    <row r="40">
      <c r="H40" s="7">
        <v>12.0</v>
      </c>
      <c r="I40" s="7">
        <v>139.99</v>
      </c>
      <c r="J40" s="70">
        <f t="shared" si="70"/>
        <v>1679.88</v>
      </c>
      <c r="T40" s="88" t="s">
        <v>250</v>
      </c>
    </row>
    <row r="41">
      <c r="H41" s="7">
        <v>19.0</v>
      </c>
      <c r="I41" s="7">
        <v>149.99</v>
      </c>
      <c r="J41" s="70">
        <f t="shared" si="70"/>
        <v>2849.81</v>
      </c>
      <c r="T41" s="7" t="s">
        <v>251</v>
      </c>
    </row>
    <row r="42">
      <c r="H42" s="7">
        <v>28.0</v>
      </c>
      <c r="I42" s="7">
        <v>94.99</v>
      </c>
      <c r="J42" s="70">
        <f t="shared" si="70"/>
        <v>2659.72</v>
      </c>
      <c r="T42" s="7" t="s">
        <v>252</v>
      </c>
    </row>
    <row r="43">
      <c r="H43" s="7">
        <v>33.0</v>
      </c>
      <c r="I43" s="7">
        <v>259.99</v>
      </c>
      <c r="J43" s="70">
        <f t="shared" si="70"/>
        <v>8579.67</v>
      </c>
      <c r="T43" s="88"/>
    </row>
    <row r="44">
      <c r="H44" s="7">
        <v>44.0</v>
      </c>
      <c r="I44" s="7">
        <v>199.99</v>
      </c>
      <c r="J44" s="70">
        <f t="shared" si="70"/>
        <v>8799.56</v>
      </c>
      <c r="T44" s="88" t="s">
        <v>253</v>
      </c>
    </row>
    <row r="45">
      <c r="J45" s="70">
        <f>sum(J24:J44)</f>
        <v>94370.9</v>
      </c>
      <c r="T45" s="7" t="s">
        <v>254</v>
      </c>
    </row>
    <row r="47">
      <c r="T47" s="88" t="s">
        <v>255</v>
      </c>
    </row>
  </sheetData>
  <conditionalFormatting sqref="AC5:AE11 AC16:AE22">
    <cfRule type="colorScale" priority="1">
      <colorScale>
        <cfvo type="min"/>
        <cfvo type="formula" val="0"/>
        <cfvo type="max"/>
        <color rgb="FFE06666"/>
        <color rgb="FFFFFFFF"/>
        <color rgb="FF93C47D"/>
      </colorScale>
    </cfRule>
  </conditionalFormatting>
  <drawing r:id="rId1"/>
  <tableParts count="11">
    <tablePart r:id="rId13"/>
    <tablePart r:id="rId14"/>
    <tablePart r:id="rId15"/>
    <tablePart r:id="rId16"/>
    <tablePart r:id="rId17"/>
    <tablePart r:id="rId18"/>
    <tablePart r:id="rId19"/>
    <tablePart r:id="rId20"/>
    <tablePart r:id="rId21"/>
    <tablePart r:id="rId22"/>
    <tablePart r:id="rId23"/>
  </tableParts>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pane xSplit="2.0" topLeftCell="C1" activePane="topRight" state="frozen"/>
      <selection activeCell="D2" sqref="D2" pane="topRight"/>
    </sheetView>
  </sheetViews>
  <sheetFormatPr customHeight="1" defaultColWidth="12.63" defaultRowHeight="15.0"/>
  <cols>
    <col customWidth="1" min="1" max="1" width="1.88"/>
    <col customWidth="1" min="2" max="2" width="20.0"/>
    <col customWidth="1" min="3" max="6" width="12.38"/>
    <col customWidth="1" min="7" max="7" width="13.38"/>
    <col customWidth="1" min="8" max="13" width="12.38"/>
    <col customWidth="1" min="14" max="15" width="14.63"/>
    <col customWidth="1" min="16" max="16" width="12.38"/>
    <col customWidth="1" min="17" max="17" width="16.88"/>
    <col customWidth="1" min="18" max="18" width="15.88"/>
    <col customWidth="1" min="19" max="19" width="12.88"/>
    <col customWidth="1" min="20" max="31" width="12.38"/>
    <col customWidth="1" min="32" max="32" width="10.38"/>
    <col customWidth="1" min="33" max="33" width="11.0"/>
    <col customWidth="1" min="34" max="45" width="13.0"/>
  </cols>
  <sheetData>
    <row r="1">
      <c r="A1" s="7"/>
      <c r="B1" s="7"/>
      <c r="Q1" s="7"/>
    </row>
    <row r="2">
      <c r="A2" s="7"/>
      <c r="F2" s="3" t="s">
        <v>0</v>
      </c>
      <c r="M2" s="7" t="s">
        <v>183</v>
      </c>
      <c r="Q2" s="7" t="s">
        <v>184</v>
      </c>
      <c r="R2" s="7" t="s">
        <v>185</v>
      </c>
      <c r="T2" s="7"/>
      <c r="W2" s="7" t="s">
        <v>186</v>
      </c>
    </row>
    <row r="3">
      <c r="F3" s="100">
        <v>7.0</v>
      </c>
      <c r="I3" s="18"/>
      <c r="J3" s="18">
        <v>0.15</v>
      </c>
      <c r="L3" s="18"/>
      <c r="M3" s="19">
        <v>0.15</v>
      </c>
      <c r="N3" s="7"/>
      <c r="O3" s="7"/>
      <c r="Q3" s="19">
        <v>0.25</v>
      </c>
      <c r="R3" s="19">
        <v>0.055</v>
      </c>
      <c r="T3" s="7"/>
      <c r="W3" s="3"/>
      <c r="X3" s="3"/>
      <c r="Y3" s="3"/>
      <c r="Z3" s="3"/>
      <c r="AA3" s="3"/>
      <c r="AB3" s="3"/>
    </row>
    <row r="4" ht="61.5" customHeight="1">
      <c r="A4" s="90"/>
      <c r="B4" s="101" t="s">
        <v>3</v>
      </c>
      <c r="C4" s="101" t="s">
        <v>187</v>
      </c>
      <c r="D4" s="101" t="s">
        <v>256</v>
      </c>
      <c r="E4" s="101" t="s">
        <v>189</v>
      </c>
      <c r="F4" s="101" t="s">
        <v>190</v>
      </c>
      <c r="G4" s="101" t="s">
        <v>191</v>
      </c>
      <c r="H4" s="101" t="s">
        <v>192</v>
      </c>
      <c r="I4" s="101" t="s">
        <v>193</v>
      </c>
      <c r="J4" s="101" t="s">
        <v>194</v>
      </c>
      <c r="K4" s="101" t="s">
        <v>195</v>
      </c>
      <c r="L4" s="101" t="s">
        <v>196</v>
      </c>
      <c r="M4" s="101" t="s">
        <v>197</v>
      </c>
      <c r="N4" s="101" t="s">
        <v>198</v>
      </c>
      <c r="O4" s="101" t="s">
        <v>199</v>
      </c>
      <c r="P4" s="101" t="s">
        <v>200</v>
      </c>
      <c r="Q4" s="101" t="s">
        <v>201</v>
      </c>
      <c r="R4" s="101" t="s">
        <v>202</v>
      </c>
      <c r="S4" s="101" t="s">
        <v>203</v>
      </c>
      <c r="T4" s="101" t="s">
        <v>204</v>
      </c>
      <c r="U4" s="101" t="s">
        <v>257</v>
      </c>
      <c r="V4" s="101" t="s">
        <v>206</v>
      </c>
      <c r="W4" s="101" t="s">
        <v>207</v>
      </c>
      <c r="X4" s="101" t="s">
        <v>258</v>
      </c>
      <c r="Y4" s="101" t="s">
        <v>209</v>
      </c>
      <c r="Z4" s="101" t="s">
        <v>210</v>
      </c>
      <c r="AA4" s="101" t="s">
        <v>259</v>
      </c>
      <c r="AB4" s="101" t="s">
        <v>212</v>
      </c>
      <c r="AC4" s="101" t="s">
        <v>213</v>
      </c>
      <c r="AD4" s="101" t="s">
        <v>260</v>
      </c>
      <c r="AE4" s="101" t="s">
        <v>215</v>
      </c>
      <c r="AF4" s="101" t="s">
        <v>216</v>
      </c>
      <c r="AG4" s="101" t="s">
        <v>217</v>
      </c>
      <c r="AH4" s="101" t="s">
        <v>218</v>
      </c>
      <c r="AI4" s="101" t="s">
        <v>261</v>
      </c>
      <c r="AJ4" s="101" t="s">
        <v>220</v>
      </c>
      <c r="AK4" s="101"/>
      <c r="AL4" s="101"/>
      <c r="AM4" s="101"/>
      <c r="AN4" s="101"/>
      <c r="AO4" s="101"/>
      <c r="AP4" s="101"/>
      <c r="AQ4" s="101"/>
      <c r="AR4" s="101"/>
      <c r="AS4" s="101" t="s">
        <v>221</v>
      </c>
    </row>
    <row r="5">
      <c r="B5" s="135" t="s">
        <v>222</v>
      </c>
      <c r="C5" s="136" t="s">
        <v>223</v>
      </c>
      <c r="D5" s="137">
        <v>19.64</v>
      </c>
      <c r="E5" s="138">
        <f t="shared" ref="E5:E6" si="5">23*6*18/12/12/12</f>
        <v>1.4375</v>
      </c>
      <c r="F5" s="137">
        <f t="shared" ref="F5:F30" si="6">E5*$F$3</f>
        <v>10.0625</v>
      </c>
      <c r="G5" s="139">
        <v>149.99</v>
      </c>
      <c r="H5" s="140">
        <v>26.0</v>
      </c>
      <c r="I5" s="141">
        <f t="shared" ref="I5:I26" si="7">G5*H5</f>
        <v>3899.74</v>
      </c>
      <c r="J5" s="142">
        <f t="shared" ref="J5:J26" si="8">$J$3</f>
        <v>0.15</v>
      </c>
      <c r="K5" s="143">
        <f t="shared" ref="K5:K26" si="9">H5*(1-J5)</f>
        <v>22.1</v>
      </c>
      <c r="L5" s="141">
        <f t="shared" ref="L5:L26" si="10">K5*G5</f>
        <v>3314.779</v>
      </c>
      <c r="M5" s="141">
        <f t="shared" ref="M5:M26" si="11">L5*$M$3+3%*(H5-K5)*G5</f>
        <v>514.76568</v>
      </c>
      <c r="N5" s="141">
        <v>16.45</v>
      </c>
      <c r="O5" s="141">
        <f t="shared" ref="O5:O26" si="12">N5*(H5)</f>
        <v>427.7</v>
      </c>
      <c r="P5" s="141">
        <f t="shared" ref="P5:P26" si="13">L5-M5-O5</f>
        <v>2372.31332</v>
      </c>
      <c r="Q5" s="141">
        <f t="shared" ref="Q5:Q26" si="14">I5*$Q$3</f>
        <v>974.935</v>
      </c>
      <c r="R5" s="141">
        <f t="shared" ref="R5:R26" si="15">I5*$R$3</f>
        <v>214.4857</v>
      </c>
      <c r="S5" s="141">
        <f t="shared" ref="S5:S26" si="16">P5-Q5-R5</f>
        <v>1182.89262</v>
      </c>
      <c r="T5" s="137">
        <f t="shared" ref="T5:T30" si="17">F5+D5</f>
        <v>29.7025</v>
      </c>
      <c r="U5" s="139">
        <f t="shared" ref="U5:U30" si="18">D5*(1.05)*(0.15)+D5+F5</f>
        <v>32.7958</v>
      </c>
      <c r="V5" s="139">
        <f t="shared" ref="V5:V30" si="19">D5*(1.02)*(0.5)+D5+F5</f>
        <v>39.7189</v>
      </c>
      <c r="W5" s="137">
        <f t="shared" ref="W5:Y5" si="1">$H5*T5</f>
        <v>772.265</v>
      </c>
      <c r="X5" s="137">
        <f t="shared" si="1"/>
        <v>852.6908</v>
      </c>
      <c r="Y5" s="144">
        <f t="shared" si="1"/>
        <v>1032.6914</v>
      </c>
      <c r="Z5" s="145">
        <f t="shared" ref="Z5:AB5" si="2">$S5-W5</f>
        <v>410.62762</v>
      </c>
      <c r="AA5" s="145">
        <f t="shared" si="2"/>
        <v>330.20182</v>
      </c>
      <c r="AB5" s="145">
        <f t="shared" si="2"/>
        <v>150.20122</v>
      </c>
      <c r="AC5" s="146">
        <f t="shared" ref="AC5:AE5" si="3">Z5/$L5</f>
        <v>0.1238778271</v>
      </c>
      <c r="AD5" s="146">
        <f t="shared" si="3"/>
        <v>0.09961503316</v>
      </c>
      <c r="AE5" s="146">
        <f t="shared" si="3"/>
        <v>0.04531258947</v>
      </c>
      <c r="AF5" s="147">
        <f t="shared" ref="AF5:AF26" si="23">AS5/AG5</f>
        <v>0.05714285714</v>
      </c>
      <c r="AG5" s="148">
        <v>35.0</v>
      </c>
      <c r="AH5" s="149">
        <f t="shared" ref="AH5:AJ5" si="4">W5/$L5</f>
        <v>0.2329763161</v>
      </c>
      <c r="AI5" s="149">
        <f t="shared" si="4"/>
        <v>0.2572391101</v>
      </c>
      <c r="AJ5" s="149">
        <f t="shared" si="4"/>
        <v>0.3115415538</v>
      </c>
      <c r="AK5" s="148"/>
      <c r="AL5" s="148"/>
      <c r="AM5" s="148"/>
      <c r="AN5" s="148"/>
      <c r="AO5" s="148"/>
      <c r="AP5" s="148"/>
      <c r="AQ5" s="148"/>
      <c r="AR5" s="148"/>
      <c r="AS5" s="148">
        <v>2.0</v>
      </c>
    </row>
    <row r="6">
      <c r="B6" s="150" t="s">
        <v>224</v>
      </c>
      <c r="C6" s="151" t="s">
        <v>223</v>
      </c>
      <c r="D6" s="152">
        <v>19.64</v>
      </c>
      <c r="E6" s="153">
        <f t="shared" si="5"/>
        <v>1.4375</v>
      </c>
      <c r="F6" s="152">
        <f t="shared" si="6"/>
        <v>10.0625</v>
      </c>
      <c r="G6" s="154">
        <v>149.99</v>
      </c>
      <c r="H6" s="155">
        <v>26.0</v>
      </c>
      <c r="I6" s="156">
        <f t="shared" si="7"/>
        <v>3899.74</v>
      </c>
      <c r="J6" s="157">
        <f t="shared" si="8"/>
        <v>0.15</v>
      </c>
      <c r="K6" s="158">
        <f t="shared" si="9"/>
        <v>22.1</v>
      </c>
      <c r="L6" s="156">
        <f t="shared" si="10"/>
        <v>3314.779</v>
      </c>
      <c r="M6" s="156">
        <f t="shared" si="11"/>
        <v>514.76568</v>
      </c>
      <c r="N6" s="156">
        <v>16.45</v>
      </c>
      <c r="O6" s="156">
        <f t="shared" si="12"/>
        <v>427.7</v>
      </c>
      <c r="P6" s="156">
        <f t="shared" si="13"/>
        <v>2372.31332</v>
      </c>
      <c r="Q6" s="156">
        <f t="shared" si="14"/>
        <v>974.935</v>
      </c>
      <c r="R6" s="156">
        <f t="shared" si="15"/>
        <v>214.4857</v>
      </c>
      <c r="S6" s="156">
        <f t="shared" si="16"/>
        <v>1182.89262</v>
      </c>
      <c r="T6" s="152">
        <f t="shared" si="17"/>
        <v>29.7025</v>
      </c>
      <c r="U6" s="154">
        <f t="shared" si="18"/>
        <v>32.7958</v>
      </c>
      <c r="V6" s="154">
        <f t="shared" si="19"/>
        <v>39.7189</v>
      </c>
      <c r="W6" s="152">
        <f t="shared" ref="W6:Y6" si="20">$H6*T6</f>
        <v>772.265</v>
      </c>
      <c r="X6" s="152">
        <f t="shared" si="20"/>
        <v>852.6908</v>
      </c>
      <c r="Y6" s="159">
        <f t="shared" si="20"/>
        <v>1032.6914</v>
      </c>
      <c r="Z6" s="160">
        <f t="shared" ref="Z6:AB6" si="21">$S6-W6</f>
        <v>410.62762</v>
      </c>
      <c r="AA6" s="160">
        <f t="shared" si="21"/>
        <v>330.20182</v>
      </c>
      <c r="AB6" s="160">
        <f t="shared" si="21"/>
        <v>150.20122</v>
      </c>
      <c r="AC6" s="161">
        <f t="shared" ref="AC6:AE6" si="22">Z6/$L6</f>
        <v>0.1238778271</v>
      </c>
      <c r="AD6" s="161">
        <f t="shared" si="22"/>
        <v>0.09961503316</v>
      </c>
      <c r="AE6" s="161">
        <f t="shared" si="22"/>
        <v>0.04531258947</v>
      </c>
      <c r="AF6" s="162">
        <f t="shared" si="23"/>
        <v>0.08108108108</v>
      </c>
      <c r="AG6" s="163">
        <v>37.0</v>
      </c>
      <c r="AH6" s="164">
        <f t="shared" ref="AH6:AH26" si="28">W6/L6</f>
        <v>0.2329763161</v>
      </c>
      <c r="AI6" s="164">
        <f t="shared" ref="AI6:AJ6" si="24">X6/$L6</f>
        <v>0.2572391101</v>
      </c>
      <c r="AJ6" s="164">
        <f t="shared" si="24"/>
        <v>0.3115415538</v>
      </c>
      <c r="AK6" s="163"/>
      <c r="AL6" s="163"/>
      <c r="AM6" s="163"/>
      <c r="AN6" s="163"/>
      <c r="AO6" s="163"/>
      <c r="AP6" s="163"/>
      <c r="AQ6" s="163"/>
      <c r="AR6" s="163"/>
      <c r="AS6" s="163">
        <v>3.0</v>
      </c>
    </row>
    <row r="7">
      <c r="B7" s="135" t="s">
        <v>225</v>
      </c>
      <c r="C7" s="136" t="s">
        <v>226</v>
      </c>
      <c r="D7" s="137">
        <v>17.26</v>
      </c>
      <c r="E7" s="138">
        <f>14.5*14.5*26.5/12/12/12</f>
        <v>3.224320023</v>
      </c>
      <c r="F7" s="137">
        <f t="shared" si="6"/>
        <v>22.57024016</v>
      </c>
      <c r="G7" s="139">
        <v>149.99</v>
      </c>
      <c r="H7" s="140">
        <v>21.0</v>
      </c>
      <c r="I7" s="141">
        <f t="shared" si="7"/>
        <v>3149.79</v>
      </c>
      <c r="J7" s="142">
        <f t="shared" si="8"/>
        <v>0.15</v>
      </c>
      <c r="K7" s="143">
        <f t="shared" si="9"/>
        <v>17.85</v>
      </c>
      <c r="L7" s="141">
        <f t="shared" si="10"/>
        <v>2677.3215</v>
      </c>
      <c r="M7" s="141">
        <f t="shared" si="11"/>
        <v>415.77228</v>
      </c>
      <c r="N7" s="141">
        <v>25.95</v>
      </c>
      <c r="O7" s="141">
        <f t="shared" si="12"/>
        <v>544.95</v>
      </c>
      <c r="P7" s="141">
        <f t="shared" si="13"/>
        <v>1716.59922</v>
      </c>
      <c r="Q7" s="141">
        <f t="shared" si="14"/>
        <v>787.4475</v>
      </c>
      <c r="R7" s="141">
        <f t="shared" si="15"/>
        <v>173.23845</v>
      </c>
      <c r="S7" s="141">
        <f t="shared" si="16"/>
        <v>755.91327</v>
      </c>
      <c r="T7" s="137">
        <f t="shared" si="17"/>
        <v>39.83024016</v>
      </c>
      <c r="U7" s="139">
        <f t="shared" si="18"/>
        <v>42.54869016</v>
      </c>
      <c r="V7" s="139">
        <f t="shared" si="19"/>
        <v>48.63284016</v>
      </c>
      <c r="W7" s="137">
        <f t="shared" ref="W7:Y7" si="25">$H7*T7</f>
        <v>836.4350434</v>
      </c>
      <c r="X7" s="137">
        <f t="shared" si="25"/>
        <v>893.5224934</v>
      </c>
      <c r="Y7" s="144">
        <f t="shared" si="25"/>
        <v>1021.289643</v>
      </c>
      <c r="Z7" s="145">
        <f t="shared" ref="Z7:AB7" si="26">$S7-W7</f>
        <v>-80.5217734</v>
      </c>
      <c r="AA7" s="145">
        <f t="shared" si="26"/>
        <v>-137.6092234</v>
      </c>
      <c r="AB7" s="145">
        <f t="shared" si="26"/>
        <v>-265.3763734</v>
      </c>
      <c r="AC7" s="146">
        <f t="shared" ref="AC7:AE7" si="27">Z7/$L7</f>
        <v>-0.0300754965</v>
      </c>
      <c r="AD7" s="146">
        <f t="shared" si="27"/>
        <v>-0.05139809448</v>
      </c>
      <c r="AE7" s="146">
        <f t="shared" si="27"/>
        <v>-0.09912009947</v>
      </c>
      <c r="AF7" s="147">
        <f t="shared" si="23"/>
        <v>0.1369863014</v>
      </c>
      <c r="AG7" s="148">
        <v>73.0</v>
      </c>
      <c r="AH7" s="149">
        <f t="shared" si="28"/>
        <v>0.3124148681</v>
      </c>
      <c r="AI7" s="149">
        <f t="shared" ref="AI7:AJ7" si="29">X7/$L7</f>
        <v>0.3337374661</v>
      </c>
      <c r="AJ7" s="149">
        <f t="shared" si="29"/>
        <v>0.3814594711</v>
      </c>
      <c r="AK7" s="148"/>
      <c r="AL7" s="148"/>
      <c r="AM7" s="148"/>
      <c r="AN7" s="148"/>
      <c r="AO7" s="148"/>
      <c r="AP7" s="148"/>
      <c r="AQ7" s="148"/>
      <c r="AR7" s="148"/>
      <c r="AS7" s="148">
        <v>10.0</v>
      </c>
    </row>
    <row r="8">
      <c r="B8" s="150" t="s">
        <v>227</v>
      </c>
      <c r="C8" s="151" t="s">
        <v>226</v>
      </c>
      <c r="D8" s="152">
        <v>14.88</v>
      </c>
      <c r="E8" s="153">
        <f>14*14*26/12/12/12</f>
        <v>2.949074074</v>
      </c>
      <c r="F8" s="152">
        <f t="shared" si="6"/>
        <v>20.64351852</v>
      </c>
      <c r="G8" s="154">
        <v>139.99</v>
      </c>
      <c r="H8" s="155">
        <v>16.0</v>
      </c>
      <c r="I8" s="156">
        <f t="shared" si="7"/>
        <v>2239.84</v>
      </c>
      <c r="J8" s="157">
        <f t="shared" si="8"/>
        <v>0.15</v>
      </c>
      <c r="K8" s="158">
        <f t="shared" si="9"/>
        <v>13.6</v>
      </c>
      <c r="L8" s="156">
        <f t="shared" si="10"/>
        <v>1903.864</v>
      </c>
      <c r="M8" s="156">
        <f t="shared" si="11"/>
        <v>295.65888</v>
      </c>
      <c r="N8" s="156">
        <v>24.43</v>
      </c>
      <c r="O8" s="156">
        <f t="shared" si="12"/>
        <v>390.88</v>
      </c>
      <c r="P8" s="156">
        <f t="shared" si="13"/>
        <v>1217.32512</v>
      </c>
      <c r="Q8" s="156">
        <f t="shared" si="14"/>
        <v>559.96</v>
      </c>
      <c r="R8" s="156">
        <f t="shared" si="15"/>
        <v>123.1912</v>
      </c>
      <c r="S8" s="156">
        <f t="shared" si="16"/>
        <v>534.17392</v>
      </c>
      <c r="T8" s="152">
        <f t="shared" si="17"/>
        <v>35.52351852</v>
      </c>
      <c r="U8" s="154">
        <f t="shared" si="18"/>
        <v>37.86711852</v>
      </c>
      <c r="V8" s="154">
        <f t="shared" si="19"/>
        <v>43.11231852</v>
      </c>
      <c r="W8" s="152">
        <f t="shared" ref="W8:Y8" si="30">$H8*T8</f>
        <v>568.3762963</v>
      </c>
      <c r="X8" s="152">
        <f t="shared" si="30"/>
        <v>605.8738963</v>
      </c>
      <c r="Y8" s="159">
        <f t="shared" si="30"/>
        <v>689.7970963</v>
      </c>
      <c r="Z8" s="160">
        <f t="shared" ref="Z8:AB8" si="31">$S8-W8</f>
        <v>-34.2023763</v>
      </c>
      <c r="AA8" s="160">
        <f t="shared" si="31"/>
        <v>-71.6999763</v>
      </c>
      <c r="AB8" s="160">
        <f t="shared" si="31"/>
        <v>-155.6231763</v>
      </c>
      <c r="AC8" s="161">
        <f t="shared" ref="AC8:AE8" si="32">Z8/$L8</f>
        <v>-0.01796471612</v>
      </c>
      <c r="AD8" s="161">
        <f t="shared" si="32"/>
        <v>-0.03766024059</v>
      </c>
      <c r="AE8" s="161">
        <f t="shared" si="32"/>
        <v>-0.08174070012</v>
      </c>
      <c r="AF8" s="162">
        <f t="shared" si="23"/>
        <v>0.2051282051</v>
      </c>
      <c r="AG8" s="163">
        <v>39.0</v>
      </c>
      <c r="AH8" s="164">
        <f t="shared" si="28"/>
        <v>0.2985382865</v>
      </c>
      <c r="AI8" s="164">
        <f t="shared" ref="AI8:AJ8" si="33">X8/$L8</f>
        <v>0.318233811</v>
      </c>
      <c r="AJ8" s="164">
        <f t="shared" si="33"/>
        <v>0.3623142705</v>
      </c>
      <c r="AK8" s="163"/>
      <c r="AL8" s="163"/>
      <c r="AM8" s="163"/>
      <c r="AN8" s="163"/>
      <c r="AO8" s="163"/>
      <c r="AP8" s="163"/>
      <c r="AQ8" s="163"/>
      <c r="AR8" s="163"/>
      <c r="AS8" s="163">
        <v>8.0</v>
      </c>
    </row>
    <row r="9">
      <c r="B9" s="135" t="s">
        <v>228</v>
      </c>
      <c r="C9" s="136" t="s">
        <v>223</v>
      </c>
      <c r="D9" s="137">
        <v>51.79</v>
      </c>
      <c r="E9" s="138">
        <f>17.5*19.5*14.5/12/12/12</f>
        <v>2.863498264</v>
      </c>
      <c r="F9" s="137">
        <f t="shared" si="6"/>
        <v>20.04448785</v>
      </c>
      <c r="G9" s="139">
        <v>249.99</v>
      </c>
      <c r="H9" s="140">
        <v>10.0</v>
      </c>
      <c r="I9" s="141">
        <f t="shared" si="7"/>
        <v>2499.9</v>
      </c>
      <c r="J9" s="142">
        <f t="shared" si="8"/>
        <v>0.15</v>
      </c>
      <c r="K9" s="143">
        <f t="shared" si="9"/>
        <v>8.5</v>
      </c>
      <c r="L9" s="141">
        <f t="shared" si="10"/>
        <v>2124.915</v>
      </c>
      <c r="M9" s="141">
        <f t="shared" si="11"/>
        <v>329.9868</v>
      </c>
      <c r="N9" s="141">
        <v>21.39</v>
      </c>
      <c r="O9" s="141">
        <f t="shared" si="12"/>
        <v>213.9</v>
      </c>
      <c r="P9" s="141">
        <f t="shared" si="13"/>
        <v>1581.0282</v>
      </c>
      <c r="Q9" s="141">
        <f t="shared" si="14"/>
        <v>624.975</v>
      </c>
      <c r="R9" s="141">
        <f t="shared" si="15"/>
        <v>137.4945</v>
      </c>
      <c r="S9" s="141">
        <f t="shared" si="16"/>
        <v>818.5587</v>
      </c>
      <c r="T9" s="137">
        <f t="shared" si="17"/>
        <v>71.83448785</v>
      </c>
      <c r="U9" s="139">
        <f t="shared" si="18"/>
        <v>79.99141285</v>
      </c>
      <c r="V9" s="139">
        <f t="shared" si="19"/>
        <v>98.24738785</v>
      </c>
      <c r="W9" s="137">
        <f t="shared" ref="W9:Y9" si="34">$H9*T9</f>
        <v>718.3448785</v>
      </c>
      <c r="X9" s="137">
        <f t="shared" si="34"/>
        <v>799.9141285</v>
      </c>
      <c r="Y9" s="144">
        <f t="shared" si="34"/>
        <v>982.4738785</v>
      </c>
      <c r="Z9" s="145">
        <f t="shared" ref="Z9:AB9" si="35">$S9-W9</f>
        <v>100.2138215</v>
      </c>
      <c r="AA9" s="145">
        <f t="shared" si="35"/>
        <v>18.64457153</v>
      </c>
      <c r="AB9" s="145">
        <f t="shared" si="35"/>
        <v>-163.9151785</v>
      </c>
      <c r="AC9" s="146">
        <f t="shared" ref="AC9:AE9" si="36">Z9/$L9</f>
        <v>0.04716133188</v>
      </c>
      <c r="AD9" s="146">
        <f t="shared" si="36"/>
        <v>0.008774266984</v>
      </c>
      <c r="AE9" s="146">
        <f t="shared" si="36"/>
        <v>-0.07713964016</v>
      </c>
      <c r="AF9" s="147">
        <f t="shared" si="23"/>
        <v>0.3076923077</v>
      </c>
      <c r="AG9" s="148">
        <v>39.0</v>
      </c>
      <c r="AH9" s="149">
        <f t="shared" si="28"/>
        <v>0.338058171</v>
      </c>
      <c r="AI9" s="149">
        <f t="shared" ref="AI9:AJ9" si="37">X9/$L9</f>
        <v>0.3764452359</v>
      </c>
      <c r="AJ9" s="149">
        <f t="shared" si="37"/>
        <v>0.4623591431</v>
      </c>
      <c r="AK9" s="148"/>
      <c r="AL9" s="148"/>
      <c r="AM9" s="148"/>
      <c r="AN9" s="148"/>
      <c r="AO9" s="148"/>
      <c r="AP9" s="148"/>
      <c r="AQ9" s="148"/>
      <c r="AR9" s="148"/>
      <c r="AS9" s="148">
        <v>12.0</v>
      </c>
    </row>
    <row r="10">
      <c r="B10" s="150" t="s">
        <v>229</v>
      </c>
      <c r="C10" s="151" t="s">
        <v>223</v>
      </c>
      <c r="D10" s="152">
        <v>14.88</v>
      </c>
      <c r="E10" s="153">
        <f>14.5*15*6/12/12/12</f>
        <v>0.7552083333</v>
      </c>
      <c r="F10" s="152">
        <f t="shared" si="6"/>
        <v>5.286458333</v>
      </c>
      <c r="G10" s="154">
        <v>99.99</v>
      </c>
      <c r="H10" s="155">
        <v>18.0</v>
      </c>
      <c r="I10" s="156">
        <f t="shared" si="7"/>
        <v>1799.82</v>
      </c>
      <c r="J10" s="157">
        <f t="shared" si="8"/>
        <v>0.15</v>
      </c>
      <c r="K10" s="158">
        <f t="shared" si="9"/>
        <v>15.3</v>
      </c>
      <c r="L10" s="156">
        <f t="shared" si="10"/>
        <v>1529.847</v>
      </c>
      <c r="M10" s="156">
        <f t="shared" si="11"/>
        <v>237.57624</v>
      </c>
      <c r="N10" s="156">
        <v>11.71</v>
      </c>
      <c r="O10" s="156">
        <f t="shared" si="12"/>
        <v>210.78</v>
      </c>
      <c r="P10" s="156">
        <f t="shared" si="13"/>
        <v>1081.49076</v>
      </c>
      <c r="Q10" s="156">
        <f t="shared" si="14"/>
        <v>449.955</v>
      </c>
      <c r="R10" s="156">
        <f t="shared" si="15"/>
        <v>98.9901</v>
      </c>
      <c r="S10" s="156">
        <f t="shared" si="16"/>
        <v>532.54566</v>
      </c>
      <c r="T10" s="152">
        <f t="shared" si="17"/>
        <v>20.16645833</v>
      </c>
      <c r="U10" s="154">
        <f t="shared" si="18"/>
        <v>22.51005833</v>
      </c>
      <c r="V10" s="154">
        <f t="shared" si="19"/>
        <v>27.75525833</v>
      </c>
      <c r="W10" s="152">
        <f t="shared" ref="W10:Y10" si="38">$H10*T10</f>
        <v>362.99625</v>
      </c>
      <c r="X10" s="152">
        <f t="shared" si="38"/>
        <v>405.18105</v>
      </c>
      <c r="Y10" s="159">
        <f t="shared" si="38"/>
        <v>499.59465</v>
      </c>
      <c r="Z10" s="160">
        <f t="shared" ref="Z10:AB10" si="39">$S10-W10</f>
        <v>169.54941</v>
      </c>
      <c r="AA10" s="160">
        <f t="shared" si="39"/>
        <v>127.36461</v>
      </c>
      <c r="AB10" s="160">
        <f t="shared" si="39"/>
        <v>32.95101</v>
      </c>
      <c r="AC10" s="161">
        <f t="shared" ref="AC10:AE10" si="40">Z10/$L10</f>
        <v>0.1108276906</v>
      </c>
      <c r="AD10" s="161">
        <f t="shared" si="40"/>
        <v>0.08325316845</v>
      </c>
      <c r="AE10" s="161">
        <f t="shared" si="40"/>
        <v>0.02153876172</v>
      </c>
      <c r="AF10" s="162">
        <f t="shared" si="23"/>
        <v>0.1071428571</v>
      </c>
      <c r="AG10" s="163">
        <v>56.0</v>
      </c>
      <c r="AH10" s="164">
        <f t="shared" si="28"/>
        <v>0.2372761786</v>
      </c>
      <c r="AI10" s="164">
        <f t="shared" ref="AI10:AJ10" si="41">X10/$L10</f>
        <v>0.2648507008</v>
      </c>
      <c r="AJ10" s="164">
        <f t="shared" si="41"/>
        <v>0.3265651075</v>
      </c>
      <c r="AK10" s="163"/>
      <c r="AL10" s="163"/>
      <c r="AM10" s="163"/>
      <c r="AN10" s="163"/>
      <c r="AO10" s="163"/>
      <c r="AP10" s="163"/>
      <c r="AQ10" s="163"/>
      <c r="AR10" s="163"/>
      <c r="AS10" s="163">
        <v>6.0</v>
      </c>
    </row>
    <row r="11">
      <c r="A11" s="165"/>
      <c r="B11" s="166" t="s">
        <v>52</v>
      </c>
      <c r="C11" s="136" t="s">
        <v>226</v>
      </c>
      <c r="D11" s="137">
        <f t="array" ref="D11">INDEX('Ex-Factory cost'!$C$3:$C$108,MATCH(B11,'Ex-Factory cost'!$B$3:$B$108,0))</f>
        <v>26.67</v>
      </c>
      <c r="E11" s="138">
        <f t="array" ref="E11">INDEX('Ex-Factory cost'!$D$3:$D$108,MATCH(B11,'Ex-Factory cost'!$B$3:$B$108,0))</f>
        <v>2.9</v>
      </c>
      <c r="F11" s="137">
        <f t="shared" si="6"/>
        <v>20.3</v>
      </c>
      <c r="G11" s="139">
        <v>149.99</v>
      </c>
      <c r="H11" s="136">
        <v>26.0</v>
      </c>
      <c r="I11" s="141">
        <f t="shared" si="7"/>
        <v>3899.74</v>
      </c>
      <c r="J11" s="142">
        <f t="shared" si="8"/>
        <v>0.15</v>
      </c>
      <c r="K11" s="143">
        <f t="shared" si="9"/>
        <v>22.1</v>
      </c>
      <c r="L11" s="141">
        <f t="shared" si="10"/>
        <v>3314.779</v>
      </c>
      <c r="M11" s="141">
        <f t="shared" si="11"/>
        <v>514.76568</v>
      </c>
      <c r="N11" s="141">
        <v>24.33</v>
      </c>
      <c r="O11" s="141">
        <f t="shared" si="12"/>
        <v>632.58</v>
      </c>
      <c r="P11" s="141">
        <f t="shared" si="13"/>
        <v>2167.43332</v>
      </c>
      <c r="Q11" s="141">
        <f t="shared" si="14"/>
        <v>974.935</v>
      </c>
      <c r="R11" s="141">
        <f t="shared" si="15"/>
        <v>214.4857</v>
      </c>
      <c r="S11" s="141">
        <f t="shared" si="16"/>
        <v>978.01262</v>
      </c>
      <c r="T11" s="137">
        <f t="shared" si="17"/>
        <v>46.97</v>
      </c>
      <c r="U11" s="139">
        <f t="shared" si="18"/>
        <v>51.170525</v>
      </c>
      <c r="V11" s="139">
        <f t="shared" si="19"/>
        <v>60.5717</v>
      </c>
      <c r="W11" s="137">
        <f t="shared" ref="W11:Y11" si="42">$H11*T11</f>
        <v>1221.22</v>
      </c>
      <c r="X11" s="137">
        <f t="shared" si="42"/>
        <v>1330.43365</v>
      </c>
      <c r="Y11" s="144">
        <f t="shared" si="42"/>
        <v>1574.8642</v>
      </c>
      <c r="Z11" s="145">
        <f t="shared" ref="Z11:AB11" si="43">$S11-W11</f>
        <v>-243.20738</v>
      </c>
      <c r="AA11" s="145">
        <f t="shared" si="43"/>
        <v>-352.42103</v>
      </c>
      <c r="AB11" s="145">
        <f t="shared" si="43"/>
        <v>-596.85158</v>
      </c>
      <c r="AC11" s="146">
        <f t="shared" ref="AC11:AE11" si="44">Z11/$L11</f>
        <v>-0.07337061686</v>
      </c>
      <c r="AD11" s="146">
        <f t="shared" si="44"/>
        <v>-0.1063181075</v>
      </c>
      <c r="AE11" s="146">
        <f t="shared" si="44"/>
        <v>-0.1800577293</v>
      </c>
      <c r="AF11" s="147">
        <f t="shared" si="23"/>
        <v>0</v>
      </c>
      <c r="AG11" s="148">
        <v>56.0</v>
      </c>
      <c r="AH11" s="149">
        <f t="shared" si="28"/>
        <v>0.368416718</v>
      </c>
      <c r="AI11" s="149">
        <f t="shared" ref="AI11:AJ11" si="45">X11/$L11</f>
        <v>0.4013642086</v>
      </c>
      <c r="AJ11" s="149">
        <f t="shared" si="45"/>
        <v>0.4751038305</v>
      </c>
      <c r="AK11" s="167"/>
      <c r="AL11" s="167"/>
      <c r="AM11" s="167"/>
      <c r="AN11" s="167"/>
      <c r="AO11" s="167"/>
      <c r="AP11" s="167"/>
      <c r="AQ11" s="167"/>
      <c r="AR11" s="167"/>
      <c r="AS11" s="167"/>
    </row>
    <row r="12">
      <c r="A12" s="165"/>
      <c r="B12" s="168" t="s">
        <v>62</v>
      </c>
      <c r="C12" s="151" t="s">
        <v>223</v>
      </c>
      <c r="D12" s="169">
        <f t="array" ref="D12">INDEX('Ex-Factory cost'!$C$3:$C$108,MATCH(B12,'Ex-Factory cost'!$B$3:$B$108,0))</f>
        <v>14.29</v>
      </c>
      <c r="E12" s="105">
        <f t="array" ref="E12">INDEX('Ex-Factory cost'!$D$3:$D$108,MATCH(B12,'Ex-Factory cost'!$B$3:$B$108,0))</f>
        <v>1.5</v>
      </c>
      <c r="F12" s="152">
        <f t="shared" si="6"/>
        <v>10.5</v>
      </c>
      <c r="G12" s="170">
        <v>79.0</v>
      </c>
      <c r="H12" s="151">
        <v>17.0</v>
      </c>
      <c r="I12" s="156">
        <f t="shared" si="7"/>
        <v>1343</v>
      </c>
      <c r="J12" s="157">
        <f t="shared" si="8"/>
        <v>0.15</v>
      </c>
      <c r="K12" s="158">
        <f t="shared" si="9"/>
        <v>14.45</v>
      </c>
      <c r="L12" s="156">
        <f t="shared" si="10"/>
        <v>1141.55</v>
      </c>
      <c r="M12" s="156">
        <f t="shared" si="11"/>
        <v>177.276</v>
      </c>
      <c r="N12" s="156">
        <v>18.25</v>
      </c>
      <c r="O12" s="156">
        <f t="shared" si="12"/>
        <v>310.25</v>
      </c>
      <c r="P12" s="156">
        <f t="shared" si="13"/>
        <v>654.024</v>
      </c>
      <c r="Q12" s="156">
        <f t="shared" si="14"/>
        <v>335.75</v>
      </c>
      <c r="R12" s="156">
        <f t="shared" si="15"/>
        <v>73.865</v>
      </c>
      <c r="S12" s="156">
        <f t="shared" si="16"/>
        <v>244.409</v>
      </c>
      <c r="T12" s="152">
        <f t="shared" si="17"/>
        <v>24.79</v>
      </c>
      <c r="U12" s="154">
        <f t="shared" si="18"/>
        <v>27.040675</v>
      </c>
      <c r="V12" s="154">
        <f t="shared" si="19"/>
        <v>32.0779</v>
      </c>
      <c r="W12" s="152">
        <f t="shared" ref="W12:Y12" si="46">$H12*T12</f>
        <v>421.43</v>
      </c>
      <c r="X12" s="152">
        <f t="shared" si="46"/>
        <v>459.691475</v>
      </c>
      <c r="Y12" s="159">
        <f t="shared" si="46"/>
        <v>545.3243</v>
      </c>
      <c r="Z12" s="160">
        <f t="shared" ref="Z12:AB12" si="47">$S12-W12</f>
        <v>-177.021</v>
      </c>
      <c r="AA12" s="160">
        <f t="shared" si="47"/>
        <v>-215.282475</v>
      </c>
      <c r="AB12" s="160">
        <f t="shared" si="47"/>
        <v>-300.9153</v>
      </c>
      <c r="AC12" s="161">
        <f t="shared" ref="AC12:AE12" si="48">Z12/$L12</f>
        <v>-0.1550707372</v>
      </c>
      <c r="AD12" s="161">
        <f t="shared" si="48"/>
        <v>-0.188587863</v>
      </c>
      <c r="AE12" s="161">
        <f t="shared" si="48"/>
        <v>-0.2636023827</v>
      </c>
      <c r="AF12" s="162">
        <f t="shared" si="23"/>
        <v>0</v>
      </c>
      <c r="AG12" s="163">
        <v>56.0</v>
      </c>
      <c r="AH12" s="164">
        <f t="shared" si="28"/>
        <v>0.3691734922</v>
      </c>
      <c r="AI12" s="164">
        <f t="shared" ref="AI12:AJ12" si="49">X12/$L12</f>
        <v>0.402690618</v>
      </c>
      <c r="AJ12" s="164">
        <f t="shared" si="49"/>
        <v>0.4777051378</v>
      </c>
      <c r="AK12" s="171"/>
      <c r="AL12" s="171"/>
      <c r="AM12" s="171"/>
      <c r="AN12" s="171"/>
      <c r="AO12" s="171"/>
      <c r="AP12" s="171"/>
      <c r="AQ12" s="171"/>
      <c r="AR12" s="171"/>
      <c r="AS12" s="171"/>
    </row>
    <row r="13">
      <c r="A13" s="165"/>
      <c r="B13" s="168" t="s">
        <v>61</v>
      </c>
      <c r="C13" s="136" t="s">
        <v>223</v>
      </c>
      <c r="D13" s="172">
        <f t="array" ref="D13">INDEX('Ex-Factory cost'!$C$3:$C$108,MATCH(B13,'Ex-Factory cost'!$B$3:$B$108,0))</f>
        <v>13.69</v>
      </c>
      <c r="E13" s="105">
        <f t="array" ref="E13">INDEX('Ex-Factory cost'!$D$3:$D$108,MATCH(B13,'Ex-Factory cost'!$B$3:$B$108,0))</f>
        <v>0.7</v>
      </c>
      <c r="F13" s="137">
        <f t="shared" si="6"/>
        <v>4.9</v>
      </c>
      <c r="G13" s="173">
        <v>59.99</v>
      </c>
      <c r="H13" s="136">
        <v>16.0</v>
      </c>
      <c r="I13" s="141">
        <f t="shared" si="7"/>
        <v>959.84</v>
      </c>
      <c r="J13" s="142">
        <f t="shared" si="8"/>
        <v>0.15</v>
      </c>
      <c r="K13" s="143">
        <f t="shared" si="9"/>
        <v>13.6</v>
      </c>
      <c r="L13" s="141">
        <f t="shared" si="10"/>
        <v>815.864</v>
      </c>
      <c r="M13" s="141">
        <f t="shared" si="11"/>
        <v>126.69888</v>
      </c>
      <c r="N13" s="141">
        <v>14.07</v>
      </c>
      <c r="O13" s="141">
        <f t="shared" si="12"/>
        <v>225.12</v>
      </c>
      <c r="P13" s="141">
        <f t="shared" si="13"/>
        <v>464.04512</v>
      </c>
      <c r="Q13" s="141">
        <f t="shared" si="14"/>
        <v>239.96</v>
      </c>
      <c r="R13" s="141">
        <f t="shared" si="15"/>
        <v>52.7912</v>
      </c>
      <c r="S13" s="141">
        <f t="shared" si="16"/>
        <v>171.29392</v>
      </c>
      <c r="T13" s="137">
        <f t="shared" si="17"/>
        <v>18.59</v>
      </c>
      <c r="U13" s="139">
        <f t="shared" si="18"/>
        <v>20.746175</v>
      </c>
      <c r="V13" s="139">
        <f t="shared" si="19"/>
        <v>25.5719</v>
      </c>
      <c r="W13" s="137">
        <f t="shared" ref="W13:Y13" si="50">$H13*T13</f>
        <v>297.44</v>
      </c>
      <c r="X13" s="137">
        <f t="shared" si="50"/>
        <v>331.9388</v>
      </c>
      <c r="Y13" s="144">
        <f t="shared" si="50"/>
        <v>409.1504</v>
      </c>
      <c r="Z13" s="145">
        <f t="shared" ref="Z13:AB13" si="51">$S13-W13</f>
        <v>-126.14608</v>
      </c>
      <c r="AA13" s="145">
        <f t="shared" si="51"/>
        <v>-160.64488</v>
      </c>
      <c r="AB13" s="145">
        <f t="shared" si="51"/>
        <v>-237.85648</v>
      </c>
      <c r="AC13" s="146">
        <f t="shared" ref="AC13:AE13" si="52">Z13/$L13</f>
        <v>-0.1546165537</v>
      </c>
      <c r="AD13" s="146">
        <f t="shared" si="52"/>
        <v>-0.1969015424</v>
      </c>
      <c r="AE13" s="146">
        <f t="shared" si="52"/>
        <v>-0.2915393742</v>
      </c>
      <c r="AF13" s="147">
        <f t="shared" si="23"/>
        <v>0</v>
      </c>
      <c r="AG13" s="148">
        <v>56.0</v>
      </c>
      <c r="AH13" s="149">
        <f t="shared" si="28"/>
        <v>0.3645705657</v>
      </c>
      <c r="AI13" s="149">
        <f t="shared" ref="AI13:AJ13" si="53">X13/$L13</f>
        <v>0.4068555544</v>
      </c>
      <c r="AJ13" s="149">
        <f t="shared" si="53"/>
        <v>0.5014933862</v>
      </c>
      <c r="AK13" s="167"/>
      <c r="AL13" s="167"/>
      <c r="AM13" s="167"/>
      <c r="AN13" s="167"/>
      <c r="AO13" s="167"/>
      <c r="AP13" s="167"/>
      <c r="AQ13" s="167"/>
      <c r="AR13" s="167"/>
      <c r="AS13" s="167"/>
    </row>
    <row r="14">
      <c r="A14" s="165"/>
      <c r="B14" s="168" t="s">
        <v>57</v>
      </c>
      <c r="C14" s="151" t="s">
        <v>223</v>
      </c>
      <c r="D14" s="169">
        <f t="array" ref="D14">INDEX('Ex-Factory cost'!$C$3:$C$108,MATCH(B14,'Ex-Factory cost'!$B$3:$B$108,0))</f>
        <v>14.88</v>
      </c>
      <c r="E14" s="105">
        <f t="array" ref="E14">INDEX('Ex-Factory cost'!$D$3:$D$108,MATCH(B14,'Ex-Factory cost'!$B$3:$B$108,0))</f>
        <v>0.9</v>
      </c>
      <c r="F14" s="152">
        <f t="shared" si="6"/>
        <v>6.3</v>
      </c>
      <c r="G14" s="170">
        <v>66.99</v>
      </c>
      <c r="H14" s="151">
        <v>15.0</v>
      </c>
      <c r="I14" s="156">
        <f t="shared" si="7"/>
        <v>1004.85</v>
      </c>
      <c r="J14" s="157">
        <f t="shared" si="8"/>
        <v>0.15</v>
      </c>
      <c r="K14" s="158">
        <f t="shared" si="9"/>
        <v>12.75</v>
      </c>
      <c r="L14" s="156">
        <f t="shared" si="10"/>
        <v>854.1225</v>
      </c>
      <c r="M14" s="156">
        <f t="shared" si="11"/>
        <v>132.6402</v>
      </c>
      <c r="N14" s="156">
        <v>14.83</v>
      </c>
      <c r="O14" s="156">
        <f t="shared" si="12"/>
        <v>222.45</v>
      </c>
      <c r="P14" s="156">
        <f t="shared" si="13"/>
        <v>499.0323</v>
      </c>
      <c r="Q14" s="156">
        <f t="shared" si="14"/>
        <v>251.2125</v>
      </c>
      <c r="R14" s="156">
        <f t="shared" si="15"/>
        <v>55.26675</v>
      </c>
      <c r="S14" s="156">
        <f t="shared" si="16"/>
        <v>192.55305</v>
      </c>
      <c r="T14" s="152">
        <f t="shared" si="17"/>
        <v>21.18</v>
      </c>
      <c r="U14" s="154">
        <f t="shared" si="18"/>
        <v>23.5236</v>
      </c>
      <c r="V14" s="154">
        <f t="shared" si="19"/>
        <v>28.7688</v>
      </c>
      <c r="W14" s="152">
        <f t="shared" ref="W14:Y14" si="54">$H14*T14</f>
        <v>317.7</v>
      </c>
      <c r="X14" s="152">
        <f t="shared" si="54"/>
        <v>352.854</v>
      </c>
      <c r="Y14" s="159">
        <f t="shared" si="54"/>
        <v>431.532</v>
      </c>
      <c r="Z14" s="160">
        <f t="shared" ref="Z14:AB14" si="55">$S14-W14</f>
        <v>-125.14695</v>
      </c>
      <c r="AA14" s="160">
        <f t="shared" si="55"/>
        <v>-160.30095</v>
      </c>
      <c r="AB14" s="160">
        <f t="shared" si="55"/>
        <v>-238.97895</v>
      </c>
      <c r="AC14" s="161">
        <f t="shared" ref="AC14:AE14" si="56">Z14/$L14</f>
        <v>-0.1465210787</v>
      </c>
      <c r="AD14" s="161">
        <f t="shared" si="56"/>
        <v>-0.1876791093</v>
      </c>
      <c r="AE14" s="161">
        <f t="shared" si="56"/>
        <v>-0.2797947016</v>
      </c>
      <c r="AF14" s="162">
        <f t="shared" si="23"/>
        <v>0</v>
      </c>
      <c r="AG14" s="163">
        <v>56.0</v>
      </c>
      <c r="AH14" s="164">
        <f t="shared" si="28"/>
        <v>0.3719606965</v>
      </c>
      <c r="AI14" s="164">
        <f t="shared" ref="AI14:AJ14" si="57">X14/$L14</f>
        <v>0.4131187271</v>
      </c>
      <c r="AJ14" s="164">
        <f t="shared" si="57"/>
        <v>0.5052343194</v>
      </c>
      <c r="AK14" s="171"/>
      <c r="AL14" s="171"/>
      <c r="AM14" s="171"/>
      <c r="AN14" s="171"/>
      <c r="AO14" s="171"/>
      <c r="AP14" s="171"/>
      <c r="AQ14" s="171"/>
      <c r="AR14" s="171"/>
      <c r="AS14" s="171"/>
    </row>
    <row r="15">
      <c r="A15" s="165"/>
      <c r="B15" s="166" t="s">
        <v>51</v>
      </c>
      <c r="C15" s="136" t="s">
        <v>223</v>
      </c>
      <c r="D15" s="137">
        <f t="array" ref="D15">INDEX('Ex-Factory cost'!$C$3:$C$108,MATCH(B15,'Ex-Factory cost'!$B$3:$B$108,0))</f>
        <v>51.79</v>
      </c>
      <c r="E15" s="105">
        <f t="array" ref="E15">INDEX('Ex-Factory cost'!$D$3:$D$108,MATCH(B15,'Ex-Factory cost'!$B$3:$B$108,0))</f>
        <v>2.9</v>
      </c>
      <c r="F15" s="137">
        <f t="shared" si="6"/>
        <v>20.3</v>
      </c>
      <c r="G15" s="173">
        <v>191.99</v>
      </c>
      <c r="H15" s="136">
        <v>14.0</v>
      </c>
      <c r="I15" s="141">
        <f t="shared" si="7"/>
        <v>2687.86</v>
      </c>
      <c r="J15" s="142">
        <f t="shared" si="8"/>
        <v>0.15</v>
      </c>
      <c r="K15" s="143">
        <f t="shared" si="9"/>
        <v>11.9</v>
      </c>
      <c r="L15" s="141">
        <f t="shared" si="10"/>
        <v>2284.681</v>
      </c>
      <c r="M15" s="141">
        <f t="shared" si="11"/>
        <v>354.79752</v>
      </c>
      <c r="N15" s="141">
        <v>21.0</v>
      </c>
      <c r="O15" s="141">
        <f t="shared" si="12"/>
        <v>294</v>
      </c>
      <c r="P15" s="141">
        <f t="shared" si="13"/>
        <v>1635.88348</v>
      </c>
      <c r="Q15" s="141">
        <f t="shared" si="14"/>
        <v>671.965</v>
      </c>
      <c r="R15" s="141">
        <f t="shared" si="15"/>
        <v>147.8323</v>
      </c>
      <c r="S15" s="141">
        <f t="shared" si="16"/>
        <v>816.08618</v>
      </c>
      <c r="T15" s="137">
        <f t="shared" si="17"/>
        <v>72.09</v>
      </c>
      <c r="U15" s="139">
        <f t="shared" si="18"/>
        <v>80.246925</v>
      </c>
      <c r="V15" s="139">
        <f t="shared" si="19"/>
        <v>98.5029</v>
      </c>
      <c r="W15" s="137">
        <f t="shared" ref="W15:Y15" si="58">$H15*T15</f>
        <v>1009.26</v>
      </c>
      <c r="X15" s="137">
        <f t="shared" si="58"/>
        <v>1123.45695</v>
      </c>
      <c r="Y15" s="144">
        <f t="shared" si="58"/>
        <v>1379.0406</v>
      </c>
      <c r="Z15" s="145">
        <f t="shared" ref="Z15:AB15" si="59">$S15-W15</f>
        <v>-193.17382</v>
      </c>
      <c r="AA15" s="145">
        <f t="shared" si="59"/>
        <v>-307.37077</v>
      </c>
      <c r="AB15" s="145">
        <f t="shared" si="59"/>
        <v>-562.95442</v>
      </c>
      <c r="AC15" s="146">
        <f t="shared" ref="AC15:AE15" si="60">Z15/$L15</f>
        <v>-0.08455176893</v>
      </c>
      <c r="AD15" s="146">
        <f t="shared" si="60"/>
        <v>-0.1345355303</v>
      </c>
      <c r="AE15" s="146">
        <f t="shared" si="60"/>
        <v>-0.2464039487</v>
      </c>
      <c r="AF15" s="147">
        <f t="shared" si="23"/>
        <v>0</v>
      </c>
      <c r="AG15" s="148">
        <v>56.0</v>
      </c>
      <c r="AH15" s="149">
        <f t="shared" si="28"/>
        <v>0.441750949</v>
      </c>
      <c r="AI15" s="149">
        <f t="shared" ref="AI15:AJ15" si="61">X15/$L15</f>
        <v>0.4917347104</v>
      </c>
      <c r="AJ15" s="149">
        <f t="shared" si="61"/>
        <v>0.6036031288</v>
      </c>
      <c r="AK15" s="167"/>
      <c r="AL15" s="167"/>
      <c r="AM15" s="167"/>
      <c r="AN15" s="167"/>
      <c r="AO15" s="167"/>
      <c r="AP15" s="167"/>
      <c r="AQ15" s="167"/>
      <c r="AR15" s="167"/>
      <c r="AS15" s="167"/>
    </row>
    <row r="16">
      <c r="A16" s="165"/>
      <c r="B16" s="166" t="s">
        <v>46</v>
      </c>
      <c r="C16" s="151" t="s">
        <v>226</v>
      </c>
      <c r="D16" s="152">
        <f t="array" ref="D16">INDEX('Ex-Factory cost'!$C$3:$C$108,MATCH(B16,'Ex-Factory cost'!$B$3:$B$108,0))</f>
        <v>29.76</v>
      </c>
      <c r="E16" s="105">
        <f t="array" ref="E16">INDEX('Ex-Factory cost'!$D$3:$D$108,MATCH(B16,'Ex-Factory cost'!$B$3:$B$108,0))</f>
        <v>4.6</v>
      </c>
      <c r="F16" s="152">
        <f t="shared" si="6"/>
        <v>32.2</v>
      </c>
      <c r="G16" s="170">
        <v>209.0</v>
      </c>
      <c r="H16" s="151">
        <v>16.0</v>
      </c>
      <c r="I16" s="156">
        <f t="shared" si="7"/>
        <v>3344</v>
      </c>
      <c r="J16" s="157">
        <f t="shared" si="8"/>
        <v>0.15</v>
      </c>
      <c r="K16" s="158">
        <f t="shared" si="9"/>
        <v>13.6</v>
      </c>
      <c r="L16" s="156">
        <f t="shared" si="10"/>
        <v>2842.4</v>
      </c>
      <c r="M16" s="156">
        <f t="shared" si="11"/>
        <v>441.408</v>
      </c>
      <c r="N16" s="156">
        <v>45.18</v>
      </c>
      <c r="O16" s="156">
        <f t="shared" si="12"/>
        <v>722.88</v>
      </c>
      <c r="P16" s="156">
        <f t="shared" si="13"/>
        <v>1678.112</v>
      </c>
      <c r="Q16" s="156">
        <f t="shared" si="14"/>
        <v>836</v>
      </c>
      <c r="R16" s="156">
        <f t="shared" si="15"/>
        <v>183.92</v>
      </c>
      <c r="S16" s="156">
        <f t="shared" si="16"/>
        <v>658.192</v>
      </c>
      <c r="T16" s="152">
        <f t="shared" si="17"/>
        <v>61.96</v>
      </c>
      <c r="U16" s="154">
        <f t="shared" si="18"/>
        <v>66.6472</v>
      </c>
      <c r="V16" s="154">
        <f t="shared" si="19"/>
        <v>77.1376</v>
      </c>
      <c r="W16" s="152">
        <f t="shared" ref="W16:Y16" si="62">$H16*T16</f>
        <v>991.36</v>
      </c>
      <c r="X16" s="152">
        <f t="shared" si="62"/>
        <v>1066.3552</v>
      </c>
      <c r="Y16" s="159">
        <f t="shared" si="62"/>
        <v>1234.2016</v>
      </c>
      <c r="Z16" s="160">
        <f t="shared" ref="Z16:AB16" si="63">$S16-W16</f>
        <v>-333.168</v>
      </c>
      <c r="AA16" s="160">
        <f t="shared" si="63"/>
        <v>-408.1632</v>
      </c>
      <c r="AB16" s="160">
        <f t="shared" si="63"/>
        <v>-576.0096</v>
      </c>
      <c r="AC16" s="161">
        <f t="shared" ref="AC16:AE16" si="64">Z16/$L16</f>
        <v>-0.1172136223</v>
      </c>
      <c r="AD16" s="161">
        <f t="shared" si="64"/>
        <v>-0.1435980861</v>
      </c>
      <c r="AE16" s="161">
        <f t="shared" si="64"/>
        <v>-0.202649029</v>
      </c>
      <c r="AF16" s="162">
        <f t="shared" si="23"/>
        <v>0</v>
      </c>
      <c r="AG16" s="163">
        <v>56.0</v>
      </c>
      <c r="AH16" s="164">
        <f t="shared" si="28"/>
        <v>0.3487756825</v>
      </c>
      <c r="AI16" s="164">
        <f t="shared" ref="AI16:AJ16" si="65">X16/$L16</f>
        <v>0.3751601464</v>
      </c>
      <c r="AJ16" s="164">
        <f t="shared" si="65"/>
        <v>0.4342110892</v>
      </c>
      <c r="AK16" s="171"/>
      <c r="AL16" s="171"/>
      <c r="AM16" s="171"/>
      <c r="AN16" s="171"/>
      <c r="AO16" s="171"/>
      <c r="AP16" s="171"/>
      <c r="AQ16" s="171"/>
      <c r="AR16" s="171"/>
      <c r="AS16" s="171"/>
    </row>
    <row r="17">
      <c r="A17" s="165"/>
      <c r="B17" s="168" t="s">
        <v>60</v>
      </c>
      <c r="C17" s="136" t="s">
        <v>223</v>
      </c>
      <c r="D17" s="172">
        <f t="array" ref="D17">INDEX('Ex-Factory cost'!$C$3:$C$108,MATCH(B17,'Ex-Factory cost'!$B$3:$B$108,0))</f>
        <v>13.69</v>
      </c>
      <c r="E17" s="105">
        <f t="array" ref="E17">INDEX('Ex-Factory cost'!$D$3:$D$108,MATCH(B17,'Ex-Factory cost'!$B$3:$B$108,0))</f>
        <v>0.7</v>
      </c>
      <c r="F17" s="137">
        <f t="shared" si="6"/>
        <v>4.9</v>
      </c>
      <c r="G17" s="173">
        <v>59.99</v>
      </c>
      <c r="H17" s="136">
        <v>7.0</v>
      </c>
      <c r="I17" s="141">
        <f t="shared" si="7"/>
        <v>419.93</v>
      </c>
      <c r="J17" s="142">
        <f t="shared" si="8"/>
        <v>0.15</v>
      </c>
      <c r="K17" s="143">
        <f t="shared" si="9"/>
        <v>5.95</v>
      </c>
      <c r="L17" s="141">
        <f t="shared" si="10"/>
        <v>356.9405</v>
      </c>
      <c r="M17" s="141">
        <f t="shared" si="11"/>
        <v>55.43076</v>
      </c>
      <c r="N17" s="141">
        <v>14.07</v>
      </c>
      <c r="O17" s="141">
        <f t="shared" si="12"/>
        <v>98.49</v>
      </c>
      <c r="P17" s="141">
        <f t="shared" si="13"/>
        <v>203.01974</v>
      </c>
      <c r="Q17" s="141">
        <f t="shared" si="14"/>
        <v>104.9825</v>
      </c>
      <c r="R17" s="141">
        <f t="shared" si="15"/>
        <v>23.09615</v>
      </c>
      <c r="S17" s="141">
        <f t="shared" si="16"/>
        <v>74.94109</v>
      </c>
      <c r="T17" s="137">
        <f t="shared" si="17"/>
        <v>18.59</v>
      </c>
      <c r="U17" s="139">
        <f t="shared" si="18"/>
        <v>20.746175</v>
      </c>
      <c r="V17" s="139">
        <f t="shared" si="19"/>
        <v>25.5719</v>
      </c>
      <c r="W17" s="137">
        <f t="shared" ref="W17:Y17" si="66">$H17*T17</f>
        <v>130.13</v>
      </c>
      <c r="X17" s="137">
        <f t="shared" si="66"/>
        <v>145.223225</v>
      </c>
      <c r="Y17" s="144">
        <f t="shared" si="66"/>
        <v>179.0033</v>
      </c>
      <c r="Z17" s="145">
        <f t="shared" ref="Z17:AB17" si="67">$S17-W17</f>
        <v>-55.18891</v>
      </c>
      <c r="AA17" s="145">
        <f t="shared" si="67"/>
        <v>-70.282135</v>
      </c>
      <c r="AB17" s="145">
        <f t="shared" si="67"/>
        <v>-104.06221</v>
      </c>
      <c r="AC17" s="146">
        <f t="shared" ref="AC17:AE17" si="68">Z17/$L17</f>
        <v>-0.1546165537</v>
      </c>
      <c r="AD17" s="146">
        <f t="shared" si="68"/>
        <v>-0.1969015424</v>
      </c>
      <c r="AE17" s="146">
        <f t="shared" si="68"/>
        <v>-0.2915393742</v>
      </c>
      <c r="AF17" s="147">
        <f t="shared" si="23"/>
        <v>0</v>
      </c>
      <c r="AG17" s="148">
        <v>56.0</v>
      </c>
      <c r="AH17" s="149">
        <f t="shared" si="28"/>
        <v>0.3645705657</v>
      </c>
      <c r="AI17" s="149">
        <f t="shared" ref="AI17:AJ17" si="69">X17/$L17</f>
        <v>0.4068555544</v>
      </c>
      <c r="AJ17" s="149">
        <f t="shared" si="69"/>
        <v>0.5014933862</v>
      </c>
      <c r="AK17" s="167"/>
      <c r="AL17" s="167"/>
      <c r="AM17" s="167"/>
      <c r="AN17" s="167"/>
      <c r="AO17" s="167"/>
      <c r="AP17" s="167"/>
      <c r="AQ17" s="167"/>
      <c r="AR17" s="167"/>
      <c r="AS17" s="167"/>
    </row>
    <row r="18">
      <c r="A18" s="165"/>
      <c r="B18" s="166" t="s">
        <v>262</v>
      </c>
      <c r="C18" s="151" t="s">
        <v>223</v>
      </c>
      <c r="D18" s="152">
        <f t="array" ref="D18">INDEX('Ex-Factory cost'!$C$3:$C$108,MATCH(B18,'Ex-Factory cost'!$B$3:$B$108,0))</f>
        <v>82.14</v>
      </c>
      <c r="E18" s="105">
        <f t="array" ref="E18">INDEX('Ex-Factory cost'!$D$3:$D$108,MATCH(B18,'Ex-Factory cost'!$B$3:$B$108,0))</f>
        <v>4.9</v>
      </c>
      <c r="F18" s="152">
        <f t="shared" si="6"/>
        <v>34.3</v>
      </c>
      <c r="G18" s="170">
        <v>369.99</v>
      </c>
      <c r="H18" s="151">
        <v>6.0</v>
      </c>
      <c r="I18" s="156">
        <f t="shared" si="7"/>
        <v>2219.94</v>
      </c>
      <c r="J18" s="157">
        <f t="shared" si="8"/>
        <v>0.15</v>
      </c>
      <c r="K18" s="158">
        <f t="shared" si="9"/>
        <v>5.1</v>
      </c>
      <c r="L18" s="156">
        <f t="shared" si="10"/>
        <v>1886.949</v>
      </c>
      <c r="M18" s="156">
        <f t="shared" si="11"/>
        <v>293.03208</v>
      </c>
      <c r="N18" s="156">
        <f t="shared" ref="N18:N19" si="74">12%*G18</f>
        <v>44.3988</v>
      </c>
      <c r="O18" s="156">
        <f t="shared" si="12"/>
        <v>266.3928</v>
      </c>
      <c r="P18" s="156">
        <f t="shared" si="13"/>
        <v>1327.52412</v>
      </c>
      <c r="Q18" s="156">
        <f t="shared" si="14"/>
        <v>554.985</v>
      </c>
      <c r="R18" s="156">
        <f t="shared" si="15"/>
        <v>122.0967</v>
      </c>
      <c r="S18" s="156">
        <f t="shared" si="16"/>
        <v>650.44242</v>
      </c>
      <c r="T18" s="152">
        <f t="shared" si="17"/>
        <v>116.44</v>
      </c>
      <c r="U18" s="154">
        <f t="shared" si="18"/>
        <v>129.37705</v>
      </c>
      <c r="V18" s="154">
        <f t="shared" si="19"/>
        <v>158.3314</v>
      </c>
      <c r="W18" s="152">
        <f t="shared" ref="W18:Y18" si="70">$H18*T18</f>
        <v>698.64</v>
      </c>
      <c r="X18" s="152">
        <f t="shared" si="70"/>
        <v>776.2623</v>
      </c>
      <c r="Y18" s="159">
        <f t="shared" si="70"/>
        <v>949.9884</v>
      </c>
      <c r="Z18" s="160">
        <f t="shared" ref="Z18:AB18" si="71">$S18-W18</f>
        <v>-48.19758</v>
      </c>
      <c r="AA18" s="160">
        <f t="shared" si="71"/>
        <v>-125.81988</v>
      </c>
      <c r="AB18" s="160">
        <f t="shared" si="71"/>
        <v>-299.54598</v>
      </c>
      <c r="AC18" s="161">
        <f t="shared" ref="AC18:AE18" si="72">Z18/$L18</f>
        <v>-0.02554259813</v>
      </c>
      <c r="AD18" s="161">
        <f t="shared" si="72"/>
        <v>-0.06667900404</v>
      </c>
      <c r="AE18" s="161">
        <f t="shared" si="72"/>
        <v>-0.1587461982</v>
      </c>
      <c r="AF18" s="162">
        <f t="shared" si="23"/>
        <v>0</v>
      </c>
      <c r="AG18" s="163">
        <v>56.0</v>
      </c>
      <c r="AH18" s="164">
        <f t="shared" si="28"/>
        <v>0.3702484805</v>
      </c>
      <c r="AI18" s="164">
        <f t="shared" ref="AI18:AJ18" si="73">X18/$L18</f>
        <v>0.4113848864</v>
      </c>
      <c r="AJ18" s="164">
        <f t="shared" si="73"/>
        <v>0.5034520806</v>
      </c>
      <c r="AK18" s="171"/>
      <c r="AL18" s="171"/>
      <c r="AM18" s="171"/>
      <c r="AN18" s="171"/>
      <c r="AO18" s="171"/>
      <c r="AP18" s="171"/>
      <c r="AQ18" s="171"/>
      <c r="AR18" s="171"/>
      <c r="AS18" s="171"/>
    </row>
    <row r="19">
      <c r="A19" s="165"/>
      <c r="B19" s="166" t="s">
        <v>263</v>
      </c>
      <c r="C19" s="136" t="s">
        <v>223</v>
      </c>
      <c r="D19" s="137">
        <f t="array" ref="D19">INDEX('Ex-Factory cost'!$C$3:$C$108,MATCH(B19,'Ex-Factory cost'!$B$3:$B$108,0))</f>
        <v>73.81</v>
      </c>
      <c r="E19" s="105">
        <f t="array" ref="E19">INDEX('Ex-Factory cost'!$D$3:$D$108,MATCH(B19,'Ex-Factory cost'!$B$3:$B$108,0))</f>
        <v>4.5</v>
      </c>
      <c r="F19" s="137">
        <f t="shared" si="6"/>
        <v>31.5</v>
      </c>
      <c r="G19" s="173">
        <v>369.99</v>
      </c>
      <c r="H19" s="136">
        <v>7.0</v>
      </c>
      <c r="I19" s="141">
        <f t="shared" si="7"/>
        <v>2589.93</v>
      </c>
      <c r="J19" s="142">
        <f t="shared" si="8"/>
        <v>0.15</v>
      </c>
      <c r="K19" s="143">
        <f t="shared" si="9"/>
        <v>5.95</v>
      </c>
      <c r="L19" s="141">
        <f t="shared" si="10"/>
        <v>2201.4405</v>
      </c>
      <c r="M19" s="141">
        <f t="shared" si="11"/>
        <v>341.87076</v>
      </c>
      <c r="N19" s="141">
        <f t="shared" si="74"/>
        <v>44.3988</v>
      </c>
      <c r="O19" s="141">
        <f t="shared" si="12"/>
        <v>310.7916</v>
      </c>
      <c r="P19" s="141">
        <f t="shared" si="13"/>
        <v>1548.77814</v>
      </c>
      <c r="Q19" s="141">
        <f t="shared" si="14"/>
        <v>647.4825</v>
      </c>
      <c r="R19" s="141">
        <f t="shared" si="15"/>
        <v>142.44615</v>
      </c>
      <c r="S19" s="141">
        <f t="shared" si="16"/>
        <v>758.84949</v>
      </c>
      <c r="T19" s="137">
        <f t="shared" si="17"/>
        <v>105.31</v>
      </c>
      <c r="U19" s="139">
        <f t="shared" si="18"/>
        <v>116.935075</v>
      </c>
      <c r="V19" s="139">
        <f t="shared" si="19"/>
        <v>142.9531</v>
      </c>
      <c r="W19" s="137">
        <f t="shared" ref="W19:Y19" si="75">$H19*T19</f>
        <v>737.17</v>
      </c>
      <c r="X19" s="137">
        <f t="shared" si="75"/>
        <v>818.545525</v>
      </c>
      <c r="Y19" s="144">
        <f t="shared" si="75"/>
        <v>1000.6717</v>
      </c>
      <c r="Z19" s="145">
        <f t="shared" ref="Z19:AB19" si="76">$S19-W19</f>
        <v>21.67949</v>
      </c>
      <c r="AA19" s="145">
        <f t="shared" si="76"/>
        <v>-59.696035</v>
      </c>
      <c r="AB19" s="145">
        <f t="shared" si="76"/>
        <v>-241.82221</v>
      </c>
      <c r="AC19" s="146">
        <f t="shared" ref="AC19:AE19" si="77">Z19/$L19</f>
        <v>0.009847865523</v>
      </c>
      <c r="AD19" s="146">
        <f t="shared" si="77"/>
        <v>-0.02711680602</v>
      </c>
      <c r="AE19" s="146">
        <f t="shared" si="77"/>
        <v>-0.1098472614</v>
      </c>
      <c r="AF19" s="147">
        <f t="shared" si="23"/>
        <v>0</v>
      </c>
      <c r="AG19" s="148">
        <v>56.0</v>
      </c>
      <c r="AH19" s="149">
        <f t="shared" si="28"/>
        <v>0.3348580168</v>
      </c>
      <c r="AI19" s="149">
        <f t="shared" ref="AI19:AJ19" si="78">X19/$L19</f>
        <v>0.3718226884</v>
      </c>
      <c r="AJ19" s="149">
        <f t="shared" si="78"/>
        <v>0.4545531437</v>
      </c>
      <c r="AK19" s="167"/>
      <c r="AL19" s="167"/>
      <c r="AM19" s="167"/>
      <c r="AN19" s="167"/>
      <c r="AO19" s="167"/>
      <c r="AP19" s="167"/>
      <c r="AQ19" s="167"/>
      <c r="AR19" s="167"/>
      <c r="AS19" s="167"/>
    </row>
    <row r="20">
      <c r="A20" s="165"/>
      <c r="B20" s="166" t="s">
        <v>264</v>
      </c>
      <c r="C20" s="151" t="s">
        <v>226</v>
      </c>
      <c r="D20" s="152">
        <f t="array" ref="D20">INDEX('Ex-Factory cost'!$C$3:$C$108,MATCH(B20,'Ex-Factory cost'!$B$3:$B$108,0))</f>
        <v>88.1</v>
      </c>
      <c r="E20" s="105">
        <f t="array" ref="E20">INDEX('Ex-Factory cost'!$D$3:$D$108,MATCH(B20,'Ex-Factory cost'!$B$3:$B$108,0))</f>
        <v>12.4</v>
      </c>
      <c r="F20" s="152">
        <f t="shared" si="6"/>
        <v>86.8</v>
      </c>
      <c r="G20" s="170">
        <v>571.99</v>
      </c>
      <c r="H20" s="151">
        <v>8.0</v>
      </c>
      <c r="I20" s="156">
        <f t="shared" si="7"/>
        <v>4575.92</v>
      </c>
      <c r="J20" s="157">
        <f t="shared" si="8"/>
        <v>0.15</v>
      </c>
      <c r="K20" s="158">
        <f t="shared" si="9"/>
        <v>6.8</v>
      </c>
      <c r="L20" s="156">
        <f t="shared" si="10"/>
        <v>3889.532</v>
      </c>
      <c r="M20" s="156">
        <f t="shared" si="11"/>
        <v>604.02144</v>
      </c>
      <c r="N20" s="156">
        <v>203.0</v>
      </c>
      <c r="O20" s="156">
        <f t="shared" si="12"/>
        <v>1624</v>
      </c>
      <c r="P20" s="156">
        <f t="shared" si="13"/>
        <v>1661.51056</v>
      </c>
      <c r="Q20" s="156">
        <f t="shared" si="14"/>
        <v>1143.98</v>
      </c>
      <c r="R20" s="156">
        <f t="shared" si="15"/>
        <v>251.6756</v>
      </c>
      <c r="S20" s="156">
        <f t="shared" si="16"/>
        <v>265.85496</v>
      </c>
      <c r="T20" s="152">
        <f t="shared" si="17"/>
        <v>174.9</v>
      </c>
      <c r="U20" s="154">
        <f t="shared" si="18"/>
        <v>188.77575</v>
      </c>
      <c r="V20" s="154">
        <f t="shared" si="19"/>
        <v>219.831</v>
      </c>
      <c r="W20" s="152">
        <f t="shared" ref="W20:Y20" si="79">$H20*T20</f>
        <v>1399.2</v>
      </c>
      <c r="X20" s="152">
        <f t="shared" si="79"/>
        <v>1510.206</v>
      </c>
      <c r="Y20" s="159">
        <f t="shared" si="79"/>
        <v>1758.648</v>
      </c>
      <c r="Z20" s="160">
        <f t="shared" ref="Z20:AB20" si="80">$S20-W20</f>
        <v>-1133.34504</v>
      </c>
      <c r="AA20" s="160">
        <f t="shared" si="80"/>
        <v>-1244.35104</v>
      </c>
      <c r="AB20" s="160">
        <f t="shared" si="80"/>
        <v>-1492.79304</v>
      </c>
      <c r="AC20" s="161">
        <f t="shared" ref="AC20:AE20" si="81">Z20/$L20</f>
        <v>-0.2913833952</v>
      </c>
      <c r="AD20" s="161">
        <f t="shared" si="81"/>
        <v>-0.3199230756</v>
      </c>
      <c r="AE20" s="161">
        <f t="shared" si="81"/>
        <v>-0.3837975983</v>
      </c>
      <c r="AF20" s="162">
        <f t="shared" si="23"/>
        <v>0</v>
      </c>
      <c r="AG20" s="163">
        <v>56.0</v>
      </c>
      <c r="AH20" s="164">
        <f t="shared" si="28"/>
        <v>0.3597347959</v>
      </c>
      <c r="AI20" s="164">
        <f t="shared" ref="AI20:AJ20" si="82">X20/$L20</f>
        <v>0.3882744762</v>
      </c>
      <c r="AJ20" s="164">
        <f t="shared" si="82"/>
        <v>0.4521489989</v>
      </c>
      <c r="AK20" s="171"/>
      <c r="AL20" s="171"/>
      <c r="AM20" s="171"/>
      <c r="AN20" s="171"/>
      <c r="AO20" s="171"/>
      <c r="AP20" s="171"/>
      <c r="AQ20" s="171"/>
      <c r="AR20" s="171"/>
      <c r="AS20" s="171"/>
    </row>
    <row r="21">
      <c r="A21" s="165"/>
      <c r="B21" s="135" t="s">
        <v>64</v>
      </c>
      <c r="C21" s="136" t="s">
        <v>226</v>
      </c>
      <c r="D21" s="137">
        <f t="array" ref="D21">INDEX('Ex-Factory cost'!$C$3:$C$108,MATCH(B21,'Ex-Factory cost'!$B$3:$B$108,0))</f>
        <v>46.27</v>
      </c>
      <c r="E21" s="105">
        <f t="array" ref="E21">INDEX('Ex-Factory cost'!$D$3:$D$108,MATCH(B21,'Ex-Factory cost'!$B$3:$B$108,0))</f>
        <v>4.8</v>
      </c>
      <c r="F21" s="137">
        <f t="shared" si="6"/>
        <v>33.6</v>
      </c>
      <c r="G21" s="173">
        <v>175.0</v>
      </c>
      <c r="H21" s="136">
        <v>10.0</v>
      </c>
      <c r="I21" s="141">
        <f t="shared" si="7"/>
        <v>1750</v>
      </c>
      <c r="J21" s="142">
        <f t="shared" si="8"/>
        <v>0.15</v>
      </c>
      <c r="K21" s="143">
        <f t="shared" si="9"/>
        <v>8.5</v>
      </c>
      <c r="L21" s="141">
        <f t="shared" si="10"/>
        <v>1487.5</v>
      </c>
      <c r="M21" s="141">
        <f t="shared" si="11"/>
        <v>231</v>
      </c>
      <c r="N21" s="141">
        <f t="shared" ref="N21:N23" si="87">17%*G21</f>
        <v>29.75</v>
      </c>
      <c r="O21" s="141">
        <f t="shared" si="12"/>
        <v>297.5</v>
      </c>
      <c r="P21" s="141">
        <f t="shared" si="13"/>
        <v>959</v>
      </c>
      <c r="Q21" s="141">
        <f t="shared" si="14"/>
        <v>437.5</v>
      </c>
      <c r="R21" s="141">
        <f t="shared" si="15"/>
        <v>96.25</v>
      </c>
      <c r="S21" s="141">
        <f t="shared" si="16"/>
        <v>425.25</v>
      </c>
      <c r="T21" s="137">
        <f t="shared" si="17"/>
        <v>79.87</v>
      </c>
      <c r="U21" s="139">
        <f t="shared" si="18"/>
        <v>87.157525</v>
      </c>
      <c r="V21" s="139">
        <f t="shared" si="19"/>
        <v>103.4677</v>
      </c>
      <c r="W21" s="137">
        <f t="shared" ref="W21:Y21" si="83">$H21*T21</f>
        <v>798.7</v>
      </c>
      <c r="X21" s="137">
        <f t="shared" si="83"/>
        <v>871.57525</v>
      </c>
      <c r="Y21" s="144">
        <f t="shared" si="83"/>
        <v>1034.677</v>
      </c>
      <c r="Z21" s="145">
        <f t="shared" ref="Z21:AB21" si="84">$S21-W21</f>
        <v>-373.45</v>
      </c>
      <c r="AA21" s="145">
        <f t="shared" si="84"/>
        <v>-446.32525</v>
      </c>
      <c r="AB21" s="145">
        <f t="shared" si="84"/>
        <v>-609.427</v>
      </c>
      <c r="AC21" s="146">
        <f t="shared" ref="AC21:AE21" si="85">Z21/$L21</f>
        <v>-0.2510588235</v>
      </c>
      <c r="AD21" s="146">
        <f t="shared" si="85"/>
        <v>-0.3000505882</v>
      </c>
      <c r="AE21" s="146">
        <f t="shared" si="85"/>
        <v>-0.4096988235</v>
      </c>
      <c r="AF21" s="147">
        <f t="shared" si="23"/>
        <v>0</v>
      </c>
      <c r="AG21" s="148">
        <v>56.0</v>
      </c>
      <c r="AH21" s="149">
        <f t="shared" si="28"/>
        <v>0.5369411765</v>
      </c>
      <c r="AI21" s="149">
        <f t="shared" ref="AI21:AJ21" si="86">X21/$L21</f>
        <v>0.5859329412</v>
      </c>
      <c r="AJ21" s="149">
        <f t="shared" si="86"/>
        <v>0.6955811765</v>
      </c>
      <c r="AK21" s="167"/>
      <c r="AL21" s="167"/>
      <c r="AM21" s="167"/>
      <c r="AN21" s="167"/>
      <c r="AO21" s="167"/>
      <c r="AP21" s="167"/>
      <c r="AQ21" s="167"/>
      <c r="AR21" s="167"/>
      <c r="AS21" s="167"/>
    </row>
    <row r="22">
      <c r="A22" s="165"/>
      <c r="B22" s="150" t="s">
        <v>265</v>
      </c>
      <c r="C22" s="151" t="s">
        <v>226</v>
      </c>
      <c r="D22" s="152">
        <f t="array" ref="D22">INDEX('Ex-Factory cost'!$C$3:$C$108,MATCH(B22,'Ex-Factory cost'!$B$3:$B$108,0))</f>
        <v>57.14</v>
      </c>
      <c r="E22" s="105">
        <f t="array" ref="E22">INDEX('Ex-Factory cost'!$D$3:$D$108,MATCH(B22,'Ex-Factory cost'!$B$3:$B$108,0))</f>
        <v>5.7</v>
      </c>
      <c r="F22" s="152">
        <f t="shared" si="6"/>
        <v>39.9</v>
      </c>
      <c r="G22" s="170">
        <v>248.0</v>
      </c>
      <c r="H22" s="151">
        <v>7.0</v>
      </c>
      <c r="I22" s="156">
        <f t="shared" si="7"/>
        <v>1736</v>
      </c>
      <c r="J22" s="157">
        <f t="shared" si="8"/>
        <v>0.15</v>
      </c>
      <c r="K22" s="158">
        <f t="shared" si="9"/>
        <v>5.95</v>
      </c>
      <c r="L22" s="156">
        <f t="shared" si="10"/>
        <v>1475.6</v>
      </c>
      <c r="M22" s="156">
        <f t="shared" si="11"/>
        <v>229.152</v>
      </c>
      <c r="N22" s="156">
        <f t="shared" si="87"/>
        <v>42.16</v>
      </c>
      <c r="O22" s="156">
        <f t="shared" si="12"/>
        <v>295.12</v>
      </c>
      <c r="P22" s="156">
        <f t="shared" si="13"/>
        <v>951.328</v>
      </c>
      <c r="Q22" s="156">
        <f t="shared" si="14"/>
        <v>434</v>
      </c>
      <c r="R22" s="156">
        <f t="shared" si="15"/>
        <v>95.48</v>
      </c>
      <c r="S22" s="156">
        <f t="shared" si="16"/>
        <v>421.848</v>
      </c>
      <c r="T22" s="152">
        <f t="shared" si="17"/>
        <v>97.04</v>
      </c>
      <c r="U22" s="154">
        <f t="shared" si="18"/>
        <v>106.03955</v>
      </c>
      <c r="V22" s="154">
        <f t="shared" si="19"/>
        <v>126.1814</v>
      </c>
      <c r="W22" s="152">
        <f t="shared" ref="W22:Y22" si="88">$H22*T22</f>
        <v>679.28</v>
      </c>
      <c r="X22" s="152">
        <f t="shared" si="88"/>
        <v>742.27685</v>
      </c>
      <c r="Y22" s="159">
        <f t="shared" si="88"/>
        <v>883.2698</v>
      </c>
      <c r="Z22" s="160">
        <f t="shared" ref="Z22:AB22" si="89">$S22-W22</f>
        <v>-257.432</v>
      </c>
      <c r="AA22" s="160">
        <f t="shared" si="89"/>
        <v>-320.42885</v>
      </c>
      <c r="AB22" s="160">
        <f t="shared" si="89"/>
        <v>-461.4218</v>
      </c>
      <c r="AC22" s="161">
        <f t="shared" ref="AC22:AE22" si="90">Z22/$L22</f>
        <v>-0.174459203</v>
      </c>
      <c r="AD22" s="161">
        <f t="shared" si="90"/>
        <v>-0.2171515655</v>
      </c>
      <c r="AE22" s="161">
        <f t="shared" si="90"/>
        <v>-0.3127011385</v>
      </c>
      <c r="AF22" s="162">
        <f t="shared" si="23"/>
        <v>0</v>
      </c>
      <c r="AG22" s="163">
        <v>56.0</v>
      </c>
      <c r="AH22" s="164">
        <f t="shared" si="28"/>
        <v>0.460341556</v>
      </c>
      <c r="AI22" s="164">
        <f t="shared" ref="AI22:AJ22" si="91">X22/$L22</f>
        <v>0.5030339184</v>
      </c>
      <c r="AJ22" s="164">
        <f t="shared" si="91"/>
        <v>0.5985834915</v>
      </c>
      <c r="AK22" s="171"/>
      <c r="AL22" s="171"/>
      <c r="AM22" s="171"/>
      <c r="AN22" s="171"/>
      <c r="AO22" s="171"/>
      <c r="AP22" s="171"/>
      <c r="AQ22" s="171"/>
      <c r="AR22" s="171"/>
      <c r="AS22" s="171"/>
    </row>
    <row r="23">
      <c r="A23" s="165"/>
      <c r="B23" s="135" t="s">
        <v>66</v>
      </c>
      <c r="C23" s="136" t="s">
        <v>226</v>
      </c>
      <c r="D23" s="137">
        <f t="array" ref="D23">INDEX('Ex-Factory cost'!$C$3:$C$108,MATCH(B23,'Ex-Factory cost'!$B$3:$B$108,0))</f>
        <v>47.62</v>
      </c>
      <c r="E23" s="105">
        <f t="array" ref="E23">INDEX('Ex-Factory cost'!$D$3:$D$108,MATCH(B23,'Ex-Factory cost'!$B$3:$B$108,0))</f>
        <v>6.4</v>
      </c>
      <c r="F23" s="137">
        <f t="shared" si="6"/>
        <v>44.8</v>
      </c>
      <c r="G23" s="173">
        <v>189.0</v>
      </c>
      <c r="H23" s="136">
        <v>14.0</v>
      </c>
      <c r="I23" s="141">
        <f t="shared" si="7"/>
        <v>2646</v>
      </c>
      <c r="J23" s="142">
        <f t="shared" si="8"/>
        <v>0.15</v>
      </c>
      <c r="K23" s="143">
        <f t="shared" si="9"/>
        <v>11.9</v>
      </c>
      <c r="L23" s="141">
        <f t="shared" si="10"/>
        <v>2249.1</v>
      </c>
      <c r="M23" s="141">
        <f t="shared" si="11"/>
        <v>349.272</v>
      </c>
      <c r="N23" s="141">
        <f t="shared" si="87"/>
        <v>32.13</v>
      </c>
      <c r="O23" s="141">
        <f t="shared" si="12"/>
        <v>449.82</v>
      </c>
      <c r="P23" s="141">
        <f t="shared" si="13"/>
        <v>1450.008</v>
      </c>
      <c r="Q23" s="141">
        <f t="shared" si="14"/>
        <v>661.5</v>
      </c>
      <c r="R23" s="141">
        <f t="shared" si="15"/>
        <v>145.53</v>
      </c>
      <c r="S23" s="141">
        <f t="shared" si="16"/>
        <v>642.978</v>
      </c>
      <c r="T23" s="137">
        <f t="shared" si="17"/>
        <v>92.42</v>
      </c>
      <c r="U23" s="139">
        <f t="shared" si="18"/>
        <v>99.92015</v>
      </c>
      <c r="V23" s="139">
        <f t="shared" si="19"/>
        <v>116.7062</v>
      </c>
      <c r="W23" s="137">
        <f t="shared" ref="W23:Y23" si="92">$H23*T23</f>
        <v>1293.88</v>
      </c>
      <c r="X23" s="137">
        <f t="shared" si="92"/>
        <v>1398.8821</v>
      </c>
      <c r="Y23" s="144">
        <f t="shared" si="92"/>
        <v>1633.8868</v>
      </c>
      <c r="Z23" s="145">
        <f t="shared" ref="Z23:AB23" si="93">$S23-W23</f>
        <v>-650.902</v>
      </c>
      <c r="AA23" s="145">
        <f t="shared" si="93"/>
        <v>-755.9041</v>
      </c>
      <c r="AB23" s="145">
        <f t="shared" si="93"/>
        <v>-990.9088</v>
      </c>
      <c r="AC23" s="146">
        <f t="shared" ref="AC23:AE23" si="94">Z23/$L23</f>
        <v>-0.28940554</v>
      </c>
      <c r="AD23" s="146">
        <f t="shared" si="94"/>
        <v>-0.3360918145</v>
      </c>
      <c r="AE23" s="146">
        <f t="shared" si="94"/>
        <v>-0.4405801432</v>
      </c>
      <c r="AF23" s="147">
        <f t="shared" si="23"/>
        <v>0</v>
      </c>
      <c r="AG23" s="148">
        <v>56.0</v>
      </c>
      <c r="AH23" s="149">
        <f t="shared" si="28"/>
        <v>0.5752878929</v>
      </c>
      <c r="AI23" s="149">
        <f t="shared" ref="AI23:AJ23" si="95">X23/$L23</f>
        <v>0.6219741674</v>
      </c>
      <c r="AJ23" s="149">
        <f t="shared" si="95"/>
        <v>0.7264624961</v>
      </c>
      <c r="AK23" s="167"/>
      <c r="AL23" s="167"/>
      <c r="AM23" s="167"/>
      <c r="AN23" s="167"/>
      <c r="AO23" s="167"/>
      <c r="AP23" s="167"/>
      <c r="AQ23" s="167"/>
      <c r="AR23" s="167"/>
      <c r="AS23" s="167"/>
    </row>
    <row r="24">
      <c r="A24" s="165"/>
      <c r="B24" s="150" t="s">
        <v>53</v>
      </c>
      <c r="C24" s="151" t="s">
        <v>223</v>
      </c>
      <c r="D24" s="152">
        <f t="array" ref="D24">INDEX('Ex-Factory cost'!$C$3:$C$108,MATCH(B24,'Ex-Factory cost'!$B$3:$B$108,0))</f>
        <v>26.19</v>
      </c>
      <c r="E24" s="105">
        <f t="array" ref="E24">INDEX('Ex-Factory cost'!$D$3:$D$108,MATCH(B24,'Ex-Factory cost'!$B$3:$B$108,0))</f>
        <v>3.2</v>
      </c>
      <c r="F24" s="152">
        <f t="shared" si="6"/>
        <v>22.4</v>
      </c>
      <c r="G24" s="170">
        <v>179.99</v>
      </c>
      <c r="H24" s="151">
        <v>10.0</v>
      </c>
      <c r="I24" s="156">
        <f t="shared" si="7"/>
        <v>1799.9</v>
      </c>
      <c r="J24" s="157">
        <f t="shared" si="8"/>
        <v>0.15</v>
      </c>
      <c r="K24" s="158">
        <f t="shared" si="9"/>
        <v>8.5</v>
      </c>
      <c r="L24" s="156">
        <f t="shared" si="10"/>
        <v>1529.915</v>
      </c>
      <c r="M24" s="156">
        <f t="shared" si="11"/>
        <v>237.5868</v>
      </c>
      <c r="N24" s="156">
        <f t="shared" ref="N24:N26" si="100">11%*G24</f>
        <v>19.7989</v>
      </c>
      <c r="O24" s="156">
        <f t="shared" si="12"/>
        <v>197.989</v>
      </c>
      <c r="P24" s="156">
        <f t="shared" si="13"/>
        <v>1094.3392</v>
      </c>
      <c r="Q24" s="156">
        <f t="shared" si="14"/>
        <v>449.975</v>
      </c>
      <c r="R24" s="156">
        <f t="shared" si="15"/>
        <v>98.9945</v>
      </c>
      <c r="S24" s="156">
        <f t="shared" si="16"/>
        <v>545.3697</v>
      </c>
      <c r="T24" s="152">
        <f t="shared" si="17"/>
        <v>48.59</v>
      </c>
      <c r="U24" s="154">
        <f t="shared" si="18"/>
        <v>52.714925</v>
      </c>
      <c r="V24" s="154">
        <f t="shared" si="19"/>
        <v>61.9469</v>
      </c>
      <c r="W24" s="152">
        <f t="shared" ref="W24:Y24" si="96">$H24*T24</f>
        <v>485.9</v>
      </c>
      <c r="X24" s="152">
        <f t="shared" si="96"/>
        <v>527.14925</v>
      </c>
      <c r="Y24" s="159">
        <f t="shared" si="96"/>
        <v>619.469</v>
      </c>
      <c r="Z24" s="160">
        <f t="shared" ref="Z24:AB24" si="97">$S24-W24</f>
        <v>59.4697</v>
      </c>
      <c r="AA24" s="160">
        <f t="shared" si="97"/>
        <v>18.22045</v>
      </c>
      <c r="AB24" s="160">
        <f t="shared" si="97"/>
        <v>-74.0993</v>
      </c>
      <c r="AC24" s="161">
        <f t="shared" ref="AC24:AE24" si="98">Z24/$L24</f>
        <v>0.03887124448</v>
      </c>
      <c r="AD24" s="161">
        <f t="shared" si="98"/>
        <v>0.01190945249</v>
      </c>
      <c r="AE24" s="161">
        <f t="shared" si="98"/>
        <v>-0.04843360579</v>
      </c>
      <c r="AF24" s="162">
        <f t="shared" si="23"/>
        <v>0</v>
      </c>
      <c r="AG24" s="163">
        <v>56.0</v>
      </c>
      <c r="AH24" s="164">
        <f t="shared" si="28"/>
        <v>0.3175993438</v>
      </c>
      <c r="AI24" s="164">
        <f t="shared" ref="AI24:AJ24" si="99">X24/$L24</f>
        <v>0.3445611357</v>
      </c>
      <c r="AJ24" s="164">
        <f t="shared" si="99"/>
        <v>0.404904194</v>
      </c>
      <c r="AK24" s="171"/>
      <c r="AL24" s="171"/>
      <c r="AM24" s="171"/>
      <c r="AN24" s="171"/>
      <c r="AO24" s="171"/>
      <c r="AP24" s="171"/>
      <c r="AQ24" s="171"/>
      <c r="AR24" s="171"/>
      <c r="AS24" s="171"/>
    </row>
    <row r="25">
      <c r="A25" s="165"/>
      <c r="B25" s="135" t="s">
        <v>59</v>
      </c>
      <c r="C25" s="136" t="s">
        <v>223</v>
      </c>
      <c r="D25" s="137">
        <f t="array" ref="D25">INDEX('Ex-Factory cost'!$C$3:$C$108,MATCH(B25,'Ex-Factory cost'!$B$3:$B$108,0))</f>
        <v>29.76</v>
      </c>
      <c r="E25" s="105">
        <f t="array" ref="E25">INDEX('Ex-Factory cost'!$D$3:$D$108,MATCH(B25,'Ex-Factory cost'!$B$3:$B$108,0))</f>
        <v>1.9</v>
      </c>
      <c r="F25" s="137">
        <f t="shared" si="6"/>
        <v>13.3</v>
      </c>
      <c r="G25" s="173">
        <v>179.0</v>
      </c>
      <c r="H25" s="136">
        <v>1.0</v>
      </c>
      <c r="I25" s="141">
        <f t="shared" si="7"/>
        <v>179</v>
      </c>
      <c r="J25" s="142">
        <f t="shared" si="8"/>
        <v>0.15</v>
      </c>
      <c r="K25" s="143">
        <f t="shared" si="9"/>
        <v>0.85</v>
      </c>
      <c r="L25" s="141">
        <f t="shared" si="10"/>
        <v>152.15</v>
      </c>
      <c r="M25" s="141">
        <f t="shared" si="11"/>
        <v>23.628</v>
      </c>
      <c r="N25" s="141">
        <f t="shared" si="100"/>
        <v>19.69</v>
      </c>
      <c r="O25" s="141">
        <f t="shared" si="12"/>
        <v>19.69</v>
      </c>
      <c r="P25" s="141">
        <f t="shared" si="13"/>
        <v>108.832</v>
      </c>
      <c r="Q25" s="141">
        <f t="shared" si="14"/>
        <v>44.75</v>
      </c>
      <c r="R25" s="141">
        <f t="shared" si="15"/>
        <v>9.845</v>
      </c>
      <c r="S25" s="141">
        <f t="shared" si="16"/>
        <v>54.237</v>
      </c>
      <c r="T25" s="137">
        <f t="shared" si="17"/>
        <v>43.06</v>
      </c>
      <c r="U25" s="139">
        <f t="shared" si="18"/>
        <v>47.7472</v>
      </c>
      <c r="V25" s="139">
        <f t="shared" si="19"/>
        <v>58.2376</v>
      </c>
      <c r="W25" s="137">
        <f t="shared" ref="W25:Y25" si="101">$H25*T25</f>
        <v>43.06</v>
      </c>
      <c r="X25" s="137">
        <f t="shared" si="101"/>
        <v>47.7472</v>
      </c>
      <c r="Y25" s="144">
        <f t="shared" si="101"/>
        <v>58.2376</v>
      </c>
      <c r="Z25" s="145">
        <f t="shared" ref="Z25:AB25" si="102">$S25-W25</f>
        <v>11.177</v>
      </c>
      <c r="AA25" s="145">
        <f t="shared" si="102"/>
        <v>6.4898</v>
      </c>
      <c r="AB25" s="145">
        <f t="shared" si="102"/>
        <v>-4.0006</v>
      </c>
      <c r="AC25" s="146">
        <f t="shared" ref="AC25:AE25" si="103">Z25/$L25</f>
        <v>0.07346040092</v>
      </c>
      <c r="AD25" s="146">
        <f t="shared" si="103"/>
        <v>0.04265395991</v>
      </c>
      <c r="AE25" s="146">
        <f t="shared" si="103"/>
        <v>-0.02629378902</v>
      </c>
      <c r="AF25" s="147">
        <f t="shared" si="23"/>
        <v>0</v>
      </c>
      <c r="AG25" s="148">
        <v>56.0</v>
      </c>
      <c r="AH25" s="149">
        <f t="shared" si="28"/>
        <v>0.2830101873</v>
      </c>
      <c r="AI25" s="149">
        <f t="shared" ref="AI25:AJ25" si="104">X25/$L25</f>
        <v>0.3138166283</v>
      </c>
      <c r="AJ25" s="149">
        <f t="shared" si="104"/>
        <v>0.3827643773</v>
      </c>
      <c r="AK25" s="167"/>
      <c r="AL25" s="167"/>
      <c r="AM25" s="167"/>
      <c r="AN25" s="167"/>
      <c r="AO25" s="167"/>
      <c r="AP25" s="167"/>
      <c r="AQ25" s="167"/>
      <c r="AR25" s="167"/>
      <c r="AS25" s="167"/>
    </row>
    <row r="26">
      <c r="A26" s="165"/>
      <c r="B26" s="150" t="s">
        <v>266</v>
      </c>
      <c r="C26" s="151" t="s">
        <v>223</v>
      </c>
      <c r="D26" s="152">
        <f t="array" ref="D26">INDEX('Ex-Factory cost'!$C$3:$C$108,MATCH(B26,'Ex-Factory cost'!$B$3:$B$108,0))</f>
        <v>53.57</v>
      </c>
      <c r="E26" s="105">
        <f t="array" ref="E26">INDEX('Ex-Factory cost'!$D$3:$D$108,MATCH(B26,'Ex-Factory cost'!$B$3:$B$108,0))</f>
        <v>3.8</v>
      </c>
      <c r="F26" s="152">
        <f t="shared" si="6"/>
        <v>26.6</v>
      </c>
      <c r="G26" s="170">
        <v>179.0</v>
      </c>
      <c r="H26" s="151">
        <v>1.0</v>
      </c>
      <c r="I26" s="156">
        <f t="shared" si="7"/>
        <v>179</v>
      </c>
      <c r="J26" s="157">
        <f t="shared" si="8"/>
        <v>0.15</v>
      </c>
      <c r="K26" s="158">
        <f t="shared" si="9"/>
        <v>0.85</v>
      </c>
      <c r="L26" s="156">
        <f t="shared" si="10"/>
        <v>152.15</v>
      </c>
      <c r="M26" s="156">
        <f t="shared" si="11"/>
        <v>23.628</v>
      </c>
      <c r="N26" s="156">
        <f t="shared" si="100"/>
        <v>19.69</v>
      </c>
      <c r="O26" s="156">
        <f t="shared" si="12"/>
        <v>19.69</v>
      </c>
      <c r="P26" s="156">
        <f t="shared" si="13"/>
        <v>108.832</v>
      </c>
      <c r="Q26" s="156">
        <f t="shared" si="14"/>
        <v>44.75</v>
      </c>
      <c r="R26" s="156">
        <f t="shared" si="15"/>
        <v>9.845</v>
      </c>
      <c r="S26" s="156">
        <f t="shared" si="16"/>
        <v>54.237</v>
      </c>
      <c r="T26" s="152">
        <f t="shared" si="17"/>
        <v>80.17</v>
      </c>
      <c r="U26" s="154">
        <f t="shared" si="18"/>
        <v>88.607275</v>
      </c>
      <c r="V26" s="154">
        <f t="shared" si="19"/>
        <v>107.4907</v>
      </c>
      <c r="W26" s="152">
        <f t="shared" ref="W26:Y26" si="105">$H26*T26</f>
        <v>80.17</v>
      </c>
      <c r="X26" s="152">
        <f t="shared" si="105"/>
        <v>88.607275</v>
      </c>
      <c r="Y26" s="159">
        <f t="shared" si="105"/>
        <v>107.4907</v>
      </c>
      <c r="Z26" s="160">
        <f t="shared" ref="Z26:AB26" si="106">$S26-W26</f>
        <v>-25.933</v>
      </c>
      <c r="AA26" s="160">
        <f t="shared" si="106"/>
        <v>-34.370275</v>
      </c>
      <c r="AB26" s="160">
        <f t="shared" si="106"/>
        <v>-53.2537</v>
      </c>
      <c r="AC26" s="161">
        <f t="shared" ref="AC26:AE26" si="107">Z26/$L26</f>
        <v>-0.1704436411</v>
      </c>
      <c r="AD26" s="161">
        <f t="shared" si="107"/>
        <v>-0.2258973053</v>
      </c>
      <c r="AE26" s="161">
        <f t="shared" si="107"/>
        <v>-0.350007887</v>
      </c>
      <c r="AF26" s="162">
        <f t="shared" si="23"/>
        <v>0</v>
      </c>
      <c r="AG26" s="163">
        <v>56.0</v>
      </c>
      <c r="AH26" s="164">
        <f t="shared" si="28"/>
        <v>0.5269142294</v>
      </c>
      <c r="AI26" s="164">
        <f t="shared" ref="AI26:AJ26" si="108">X26/$L26</f>
        <v>0.5823678935</v>
      </c>
      <c r="AJ26" s="164">
        <f t="shared" si="108"/>
        <v>0.7064784752</v>
      </c>
      <c r="AK26" s="171"/>
      <c r="AL26" s="171"/>
      <c r="AM26" s="171"/>
      <c r="AN26" s="171"/>
      <c r="AO26" s="171"/>
      <c r="AP26" s="171"/>
      <c r="AQ26" s="171"/>
      <c r="AR26" s="171"/>
      <c r="AS26" s="171"/>
    </row>
    <row r="27">
      <c r="A27" s="165"/>
      <c r="B27" s="135" t="s">
        <v>267</v>
      </c>
      <c r="C27" s="136" t="s">
        <v>223</v>
      </c>
      <c r="D27" s="137">
        <f t="array" ref="D27">INDEX('Ex-Factory cost'!$C$3:$C$108,MATCH(B27,'Ex-Factory cost'!$B$3:$B$108,0))</f>
        <v>94.05</v>
      </c>
      <c r="E27" s="105">
        <f t="array" ref="E27">INDEX('Ex-Factory cost'!$D$3:$D$108,MATCH(B27,'Ex-Factory cost'!$B$3:$B$108,0))</f>
        <v>4.7</v>
      </c>
      <c r="F27" s="137">
        <f t="shared" si="6"/>
        <v>32.9</v>
      </c>
      <c r="G27" s="173"/>
      <c r="H27" s="136"/>
      <c r="I27" s="141"/>
      <c r="J27" s="142"/>
      <c r="K27" s="143"/>
      <c r="L27" s="141"/>
      <c r="M27" s="141"/>
      <c r="N27" s="141"/>
      <c r="O27" s="141"/>
      <c r="P27" s="143"/>
      <c r="Q27" s="143"/>
      <c r="R27" s="143"/>
      <c r="S27" s="143"/>
      <c r="T27" s="137">
        <f t="shared" si="17"/>
        <v>126.95</v>
      </c>
      <c r="U27" s="139">
        <f t="shared" si="18"/>
        <v>141.762875</v>
      </c>
      <c r="V27" s="139">
        <f t="shared" si="19"/>
        <v>174.9155</v>
      </c>
      <c r="W27" s="143"/>
      <c r="X27" s="143"/>
      <c r="Y27" s="144"/>
      <c r="Z27" s="174"/>
      <c r="AA27" s="174"/>
      <c r="AB27" s="174"/>
      <c r="AC27" s="146"/>
      <c r="AD27" s="146"/>
      <c r="AE27" s="146"/>
      <c r="AF27" s="147"/>
      <c r="AG27" s="148"/>
      <c r="AH27" s="149"/>
      <c r="AI27" s="149"/>
      <c r="AJ27" s="149"/>
      <c r="AK27" s="167"/>
      <c r="AL27" s="167"/>
      <c r="AM27" s="167"/>
      <c r="AN27" s="167"/>
      <c r="AO27" s="167"/>
      <c r="AP27" s="167"/>
      <c r="AQ27" s="167"/>
      <c r="AR27" s="167"/>
      <c r="AS27" s="167"/>
    </row>
    <row r="28">
      <c r="A28" s="165"/>
      <c r="B28" s="150" t="s">
        <v>268</v>
      </c>
      <c r="C28" s="151" t="s">
        <v>226</v>
      </c>
      <c r="D28" s="152">
        <f t="array" ref="D28">INDEX('Ex-Factory cost'!$C$3:$C$108,MATCH(B28,'Ex-Factory cost'!$B$3:$B$108,0))</f>
        <v>92.86</v>
      </c>
      <c r="E28" s="105">
        <f t="array" ref="E28">INDEX('Ex-Factory cost'!$D$3:$D$108,MATCH(B28,'Ex-Factory cost'!$B$3:$B$108,0))</f>
        <v>14.5</v>
      </c>
      <c r="F28" s="152">
        <f t="shared" si="6"/>
        <v>101.5</v>
      </c>
      <c r="G28" s="170"/>
      <c r="H28" s="151"/>
      <c r="I28" s="156"/>
      <c r="J28" s="157"/>
      <c r="K28" s="158"/>
      <c r="L28" s="156"/>
      <c r="M28" s="156"/>
      <c r="N28" s="156"/>
      <c r="O28" s="156"/>
      <c r="P28" s="158"/>
      <c r="Q28" s="158"/>
      <c r="R28" s="158"/>
      <c r="S28" s="158"/>
      <c r="T28" s="152">
        <f t="shared" si="17"/>
        <v>194.36</v>
      </c>
      <c r="U28" s="154">
        <f t="shared" si="18"/>
        <v>208.98545</v>
      </c>
      <c r="V28" s="154">
        <f t="shared" si="19"/>
        <v>241.7186</v>
      </c>
      <c r="W28" s="158"/>
      <c r="X28" s="158"/>
      <c r="Y28" s="159"/>
      <c r="Z28" s="175"/>
      <c r="AA28" s="175"/>
      <c r="AB28" s="175"/>
      <c r="AC28" s="161"/>
      <c r="AD28" s="161"/>
      <c r="AE28" s="161"/>
      <c r="AF28" s="162"/>
      <c r="AG28" s="163"/>
      <c r="AH28" s="164"/>
      <c r="AI28" s="164"/>
      <c r="AJ28" s="164"/>
      <c r="AK28" s="171"/>
      <c r="AL28" s="171"/>
      <c r="AM28" s="171"/>
      <c r="AN28" s="171"/>
      <c r="AO28" s="171"/>
      <c r="AP28" s="171"/>
      <c r="AQ28" s="171"/>
      <c r="AR28" s="171"/>
      <c r="AS28" s="171"/>
    </row>
    <row r="29">
      <c r="A29" s="165"/>
      <c r="B29" s="135" t="s">
        <v>269</v>
      </c>
      <c r="C29" s="136"/>
      <c r="D29" s="137">
        <f t="array" ref="D29">INDEX('Ex-Factory cost'!$C$3:$C$108,MATCH(B29,'Ex-Factory cost'!$B$3:$B$108,0))</f>
        <v>82.14</v>
      </c>
      <c r="E29" s="105">
        <f t="array" ref="E29">INDEX('Ex-Factory cost'!$D$3:$D$108,MATCH(B29,'Ex-Factory cost'!$B$3:$B$108,0))</f>
        <v>8.3</v>
      </c>
      <c r="F29" s="137">
        <f t="shared" si="6"/>
        <v>58.1</v>
      </c>
      <c r="G29" s="173"/>
      <c r="H29" s="136"/>
      <c r="I29" s="141"/>
      <c r="J29" s="142"/>
      <c r="K29" s="143"/>
      <c r="L29" s="141"/>
      <c r="M29" s="141"/>
      <c r="N29" s="141"/>
      <c r="O29" s="141"/>
      <c r="P29" s="143"/>
      <c r="Q29" s="143"/>
      <c r="R29" s="143"/>
      <c r="S29" s="143"/>
      <c r="T29" s="137">
        <f t="shared" si="17"/>
        <v>140.24</v>
      </c>
      <c r="U29" s="139">
        <f t="shared" si="18"/>
        <v>153.17705</v>
      </c>
      <c r="V29" s="139">
        <f t="shared" si="19"/>
        <v>182.1314</v>
      </c>
      <c r="W29" s="143"/>
      <c r="X29" s="143"/>
      <c r="Y29" s="144"/>
      <c r="Z29" s="174"/>
      <c r="AA29" s="174"/>
      <c r="AB29" s="174"/>
      <c r="AC29" s="146"/>
      <c r="AD29" s="146"/>
      <c r="AE29" s="146"/>
      <c r="AF29" s="147"/>
      <c r="AG29" s="148"/>
      <c r="AH29" s="149"/>
      <c r="AI29" s="149"/>
      <c r="AJ29" s="149"/>
      <c r="AK29" s="167"/>
      <c r="AL29" s="167"/>
      <c r="AM29" s="167"/>
      <c r="AN29" s="167"/>
      <c r="AO29" s="167"/>
      <c r="AP29" s="167"/>
      <c r="AQ29" s="167"/>
      <c r="AR29" s="167"/>
      <c r="AS29" s="167"/>
    </row>
    <row r="30">
      <c r="A30" s="165"/>
      <c r="B30" s="150" t="s">
        <v>270</v>
      </c>
      <c r="C30" s="151" t="s">
        <v>223</v>
      </c>
      <c r="D30" s="152">
        <f t="array" ref="D30">INDEX('Ex-Factory cost'!$C$3:$C$108,MATCH(B30,'Ex-Factory cost'!$B$3:$B$108,0))</f>
        <v>32.14</v>
      </c>
      <c r="E30" s="105">
        <f t="array" ref="E30">INDEX('Ex-Factory cost'!$D$3:$D$108,MATCH(B30,'Ex-Factory cost'!$B$3:$B$108,0))</f>
        <v>2.6</v>
      </c>
      <c r="F30" s="152">
        <f t="shared" si="6"/>
        <v>18.2</v>
      </c>
      <c r="G30" s="170">
        <v>190.99</v>
      </c>
      <c r="H30" s="151">
        <v>6.0</v>
      </c>
      <c r="I30" s="156">
        <f>G30*H30</f>
        <v>1145.94</v>
      </c>
      <c r="J30" s="157">
        <f>$J$3</f>
        <v>0.15</v>
      </c>
      <c r="K30" s="158">
        <f>H30*(1-J30)</f>
        <v>5.1</v>
      </c>
      <c r="L30" s="156">
        <f>K30*G30</f>
        <v>974.049</v>
      </c>
      <c r="M30" s="156">
        <f>L30*$M$3+3%*(H30-K30)*G30</f>
        <v>151.26408</v>
      </c>
      <c r="N30" s="156">
        <v>21.67</v>
      </c>
      <c r="O30" s="156">
        <f>N30*(H30)</f>
        <v>130.02</v>
      </c>
      <c r="P30" s="156">
        <f>L30-M30-O30</f>
        <v>692.76492</v>
      </c>
      <c r="Q30" s="156">
        <f>I30*$Q$3</f>
        <v>286.485</v>
      </c>
      <c r="R30" s="156">
        <f>I30*$R$3</f>
        <v>63.0267</v>
      </c>
      <c r="S30" s="156">
        <f>P30-Q30-R30</f>
        <v>343.25322</v>
      </c>
      <c r="T30" s="152">
        <f t="shared" si="17"/>
        <v>50.34</v>
      </c>
      <c r="U30" s="154">
        <f t="shared" si="18"/>
        <v>55.40205</v>
      </c>
      <c r="V30" s="154">
        <f t="shared" si="19"/>
        <v>66.7314</v>
      </c>
      <c r="W30" s="152">
        <f t="shared" ref="W30:Y30" si="109">$H30*T30</f>
        <v>302.04</v>
      </c>
      <c r="X30" s="152">
        <f t="shared" si="109"/>
        <v>332.4123</v>
      </c>
      <c r="Y30" s="159">
        <f t="shared" si="109"/>
        <v>400.3884</v>
      </c>
      <c r="Z30" s="160">
        <f t="shared" ref="Z30:AB30" si="110">$S30-W30</f>
        <v>41.21322</v>
      </c>
      <c r="AA30" s="160">
        <f t="shared" si="110"/>
        <v>10.84092</v>
      </c>
      <c r="AB30" s="160">
        <f t="shared" si="110"/>
        <v>-57.13518</v>
      </c>
      <c r="AC30" s="161">
        <f t="shared" ref="AC30:AE30" si="111">Z30/$L30</f>
        <v>0.04231123896</v>
      </c>
      <c r="AD30" s="161">
        <f t="shared" si="111"/>
        <v>0.01112974809</v>
      </c>
      <c r="AE30" s="161">
        <f t="shared" si="111"/>
        <v>-0.05865739814</v>
      </c>
      <c r="AF30" s="162">
        <f t="shared" ref="AF30:AF31" si="118">AS30/AG30</f>
        <v>0</v>
      </c>
      <c r="AG30" s="163">
        <v>56.0</v>
      </c>
      <c r="AH30" s="164">
        <f t="shared" ref="AH30:AH31" si="119">W30/L30</f>
        <v>0.3100870695</v>
      </c>
      <c r="AI30" s="164">
        <f t="shared" ref="AI30:AJ30" si="112">X30/$L30</f>
        <v>0.3412685604</v>
      </c>
      <c r="AJ30" s="164">
        <f t="shared" si="112"/>
        <v>0.4110557066</v>
      </c>
      <c r="AK30" s="171"/>
      <c r="AL30" s="171"/>
      <c r="AM30" s="171"/>
      <c r="AN30" s="171"/>
      <c r="AO30" s="171"/>
      <c r="AP30" s="171"/>
      <c r="AQ30" s="171"/>
      <c r="AR30" s="171"/>
      <c r="AS30" s="171"/>
    </row>
    <row r="31">
      <c r="B31" s="176" t="s">
        <v>230</v>
      </c>
      <c r="C31" s="120"/>
      <c r="D31" s="120"/>
      <c r="E31" s="110"/>
      <c r="F31" s="120"/>
      <c r="G31" s="121"/>
      <c r="H31" s="122"/>
      <c r="I31" s="123">
        <f>SUM(I3:I30)</f>
        <v>49969.68</v>
      </c>
      <c r="J31" s="124"/>
      <c r="K31" s="124"/>
      <c r="L31" s="123">
        <f t="shared" ref="L31:M31" si="113">SUM(L3:L30)</f>
        <v>42474.228</v>
      </c>
      <c r="M31" s="123">
        <f t="shared" si="113"/>
        <v>6596.14776</v>
      </c>
      <c r="N31" s="123"/>
      <c r="O31" s="123">
        <f t="shared" ref="O31:S31" si="114">SUM(O3:O30)</f>
        <v>8332.6934</v>
      </c>
      <c r="P31" s="123">
        <f t="shared" si="114"/>
        <v>27545.53684</v>
      </c>
      <c r="Q31" s="123">
        <f t="shared" si="114"/>
        <v>12492.67</v>
      </c>
      <c r="R31" s="123">
        <f t="shared" si="114"/>
        <v>2748.3874</v>
      </c>
      <c r="S31" s="123">
        <f t="shared" si="114"/>
        <v>12304.78444</v>
      </c>
      <c r="T31" s="120"/>
      <c r="U31" s="177"/>
      <c r="V31" s="177"/>
      <c r="W31" s="178">
        <f t="shared" ref="W31:Y31" si="115">sum(W5:W10)</f>
        <v>4030.682468</v>
      </c>
      <c r="X31" s="178">
        <f t="shared" si="115"/>
        <v>4409.873168</v>
      </c>
      <c r="Y31" s="178">
        <f t="shared" si="115"/>
        <v>5258.538068</v>
      </c>
      <c r="Z31" s="179">
        <f t="shared" ref="Z31:AB31" si="116">SUM(Z3:Z30)</f>
        <v>-2632.478028</v>
      </c>
      <c r="AA31" s="179">
        <f t="shared" si="116"/>
        <v>-4028.706078</v>
      </c>
      <c r="AB31" s="179">
        <f t="shared" si="116"/>
        <v>-7153.597428</v>
      </c>
      <c r="AC31" s="180">
        <f t="shared" ref="AC31:AE31" si="117">Z31/$L31</f>
        <v>-0.06197824309</v>
      </c>
      <c r="AD31" s="180">
        <f t="shared" si="117"/>
        <v>-0.0948506016</v>
      </c>
      <c r="AE31" s="180">
        <f t="shared" si="117"/>
        <v>-0.1684220706</v>
      </c>
      <c r="AF31" s="147">
        <f t="shared" si="118"/>
        <v>0.146953405</v>
      </c>
      <c r="AG31" s="167">
        <f>SUM(AG5:AG10)</f>
        <v>279</v>
      </c>
      <c r="AH31" s="149">
        <f t="shared" si="119"/>
        <v>0.09489713311</v>
      </c>
      <c r="AI31" s="149">
        <f t="shared" ref="AI31:AJ31" si="120">X31/$L31</f>
        <v>0.1038246809</v>
      </c>
      <c r="AJ31" s="149">
        <f t="shared" si="120"/>
        <v>0.1238053831</v>
      </c>
      <c r="AK31" s="167"/>
      <c r="AL31" s="167"/>
      <c r="AM31" s="167"/>
      <c r="AN31" s="167"/>
      <c r="AO31" s="167"/>
      <c r="AP31" s="167"/>
      <c r="AQ31" s="167"/>
      <c r="AR31" s="167"/>
      <c r="AS31" s="167">
        <f>SUM(AS5:AS10)</f>
        <v>41</v>
      </c>
    </row>
    <row r="33">
      <c r="M33" s="74"/>
      <c r="N33" s="74">
        <f t="shared" ref="N33:N39" si="121">N5/G5</f>
        <v>0.1096739783</v>
      </c>
      <c r="O33" s="128"/>
      <c r="S33" s="129" t="s">
        <v>231</v>
      </c>
      <c r="T33" s="130">
        <v>0.1</v>
      </c>
    </row>
    <row r="34">
      <c r="M34" s="74"/>
      <c r="N34" s="74">
        <f t="shared" si="121"/>
        <v>0.1096739783</v>
      </c>
      <c r="O34" s="128"/>
      <c r="T34" s="18"/>
    </row>
    <row r="35">
      <c r="B35" s="101" t="s">
        <v>3</v>
      </c>
      <c r="M35" s="74"/>
      <c r="N35" s="74">
        <f t="shared" si="121"/>
        <v>0.1730115341</v>
      </c>
      <c r="O35" s="128"/>
      <c r="T35" s="101" t="s">
        <v>232</v>
      </c>
      <c r="U35" s="101" t="s">
        <v>271</v>
      </c>
      <c r="V35" s="101" t="s">
        <v>234</v>
      </c>
      <c r="W35" s="101" t="s">
        <v>207</v>
      </c>
      <c r="X35" s="101" t="s">
        <v>208</v>
      </c>
      <c r="Y35" s="101" t="s">
        <v>209</v>
      </c>
      <c r="Z35" s="101" t="s">
        <v>210</v>
      </c>
      <c r="AA35" s="101" t="s">
        <v>211</v>
      </c>
      <c r="AB35" s="101" t="s">
        <v>212</v>
      </c>
      <c r="AC35" s="101" t="s">
        <v>213</v>
      </c>
      <c r="AD35" s="101" t="s">
        <v>235</v>
      </c>
      <c r="AE35" s="101" t="s">
        <v>236</v>
      </c>
    </row>
    <row r="36">
      <c r="B36" s="102" t="s">
        <v>222</v>
      </c>
      <c r="E36" s="3"/>
      <c r="F36" s="3"/>
      <c r="G36" s="3"/>
      <c r="M36" s="74"/>
      <c r="N36" s="74">
        <f t="shared" si="121"/>
        <v>0.1745124652</v>
      </c>
      <c r="O36" s="128"/>
      <c r="T36" s="104">
        <f t="shared" ref="T36:T41" si="125">F5+D5*(1-$T$33)</f>
        <v>27.7385</v>
      </c>
      <c r="U36" s="106">
        <f t="shared" ref="U36:U41" si="126">D5*(1.02)*(1.25)*(1-$T$33)+F5</f>
        <v>32.5994</v>
      </c>
      <c r="V36" s="106">
        <f t="shared" ref="V36:V41" si="127">D5*(1.02)*(1.5)*(1-$T$33)+F5</f>
        <v>37.10678</v>
      </c>
      <c r="W36" s="111">
        <f t="shared" ref="W36:Y36" si="122">$H5*T36</f>
        <v>721.201</v>
      </c>
      <c r="X36" s="111">
        <f t="shared" si="122"/>
        <v>847.5844</v>
      </c>
      <c r="Y36" s="111">
        <f t="shared" si="122"/>
        <v>964.77628</v>
      </c>
      <c r="Z36" s="113">
        <f t="shared" ref="Z36:AB36" si="123">$S5-W36</f>
        <v>461.69162</v>
      </c>
      <c r="AA36" s="113">
        <f t="shared" si="123"/>
        <v>335.30822</v>
      </c>
      <c r="AB36" s="113">
        <f t="shared" si="123"/>
        <v>218.11634</v>
      </c>
      <c r="AC36" s="114">
        <f t="shared" ref="AC36:AE36" si="124">Z36/$L5</f>
        <v>0.1392827757</v>
      </c>
      <c r="AD36" s="114">
        <f t="shared" si="124"/>
        <v>0.101155528</v>
      </c>
      <c r="AE36" s="114">
        <f t="shared" si="124"/>
        <v>0.06580117106</v>
      </c>
    </row>
    <row r="37">
      <c r="B37" s="102" t="s">
        <v>224</v>
      </c>
      <c r="D37" s="7"/>
      <c r="E37" s="19"/>
      <c r="F37" s="19"/>
      <c r="M37" s="74"/>
      <c r="N37" s="74">
        <f t="shared" si="121"/>
        <v>0.08556342254</v>
      </c>
      <c r="O37" s="128"/>
      <c r="T37" s="104">
        <f t="shared" si="125"/>
        <v>27.7385</v>
      </c>
      <c r="U37" s="106">
        <f t="shared" si="126"/>
        <v>32.5994</v>
      </c>
      <c r="V37" s="106">
        <f t="shared" si="127"/>
        <v>37.10678</v>
      </c>
      <c r="W37" s="111">
        <f t="shared" ref="W37:Y37" si="128">$H6*T37</f>
        <v>721.201</v>
      </c>
      <c r="X37" s="111">
        <f t="shared" si="128"/>
        <v>847.5844</v>
      </c>
      <c r="Y37" s="111">
        <f t="shared" si="128"/>
        <v>964.77628</v>
      </c>
      <c r="Z37" s="113">
        <f t="shared" ref="Z37:AB37" si="129">$S6-W37</f>
        <v>461.69162</v>
      </c>
      <c r="AA37" s="113">
        <f t="shared" si="129"/>
        <v>335.30822</v>
      </c>
      <c r="AB37" s="113">
        <f t="shared" si="129"/>
        <v>218.11634</v>
      </c>
      <c r="AC37" s="114">
        <f t="shared" ref="AC37:AE37" si="130">Z37/$L6</f>
        <v>0.1392827757</v>
      </c>
      <c r="AD37" s="114">
        <f t="shared" si="130"/>
        <v>0.101155528</v>
      </c>
      <c r="AE37" s="114">
        <f t="shared" si="130"/>
        <v>0.06580117106</v>
      </c>
    </row>
    <row r="38">
      <c r="B38" s="102" t="s">
        <v>225</v>
      </c>
      <c r="D38" s="7"/>
      <c r="E38" s="19"/>
      <c r="F38" s="19"/>
      <c r="M38" s="74"/>
      <c r="N38" s="74">
        <f t="shared" si="121"/>
        <v>0.1171117112</v>
      </c>
      <c r="O38" s="128"/>
      <c r="T38" s="104">
        <f t="shared" si="125"/>
        <v>38.10424016</v>
      </c>
      <c r="U38" s="106">
        <f t="shared" si="126"/>
        <v>42.37609016</v>
      </c>
      <c r="V38" s="106">
        <f t="shared" si="127"/>
        <v>46.33726016</v>
      </c>
      <c r="W38" s="111">
        <f t="shared" ref="W38:Y38" si="131">$H7*T38</f>
        <v>800.1890434</v>
      </c>
      <c r="X38" s="111">
        <f t="shared" si="131"/>
        <v>889.8978934</v>
      </c>
      <c r="Y38" s="111">
        <f t="shared" si="131"/>
        <v>973.0824634</v>
      </c>
      <c r="Z38" s="113">
        <f t="shared" ref="Z38:AB38" si="132">$S7-W38</f>
        <v>-44.2757734</v>
      </c>
      <c r="AA38" s="113">
        <f t="shared" si="132"/>
        <v>-133.9846234</v>
      </c>
      <c r="AB38" s="113">
        <f t="shared" si="132"/>
        <v>-217.1691934</v>
      </c>
      <c r="AC38" s="114">
        <f t="shared" ref="AC38:AE38" si="133">Z38/$L7</f>
        <v>-0.01653733905</v>
      </c>
      <c r="AD38" s="114">
        <f t="shared" si="133"/>
        <v>-0.05004427873</v>
      </c>
      <c r="AE38" s="114">
        <f t="shared" si="133"/>
        <v>-0.08111435007</v>
      </c>
    </row>
    <row r="39">
      <c r="B39" s="102" t="s">
        <v>227</v>
      </c>
      <c r="D39" s="7"/>
      <c r="E39" s="19"/>
      <c r="F39" s="19"/>
      <c r="N39" s="74">
        <f t="shared" si="121"/>
        <v>0.1622108141</v>
      </c>
      <c r="O39" s="128"/>
      <c r="T39" s="104">
        <f t="shared" si="125"/>
        <v>34.03551852</v>
      </c>
      <c r="U39" s="106">
        <f t="shared" si="126"/>
        <v>37.71831852</v>
      </c>
      <c r="V39" s="106">
        <f t="shared" si="127"/>
        <v>41.13327852</v>
      </c>
      <c r="W39" s="111">
        <f t="shared" ref="W39:Y39" si="134">$H8*T39</f>
        <v>544.5682963</v>
      </c>
      <c r="X39" s="111">
        <f t="shared" si="134"/>
        <v>603.4930963</v>
      </c>
      <c r="Y39" s="111">
        <f t="shared" si="134"/>
        <v>658.1324563</v>
      </c>
      <c r="Z39" s="113">
        <f t="shared" ref="Z39:AB39" si="135">$S8-W39</f>
        <v>-10.3943763</v>
      </c>
      <c r="AA39" s="113">
        <f t="shared" si="135"/>
        <v>-69.3191763</v>
      </c>
      <c r="AB39" s="113">
        <f t="shared" si="135"/>
        <v>-123.9585363</v>
      </c>
      <c r="AC39" s="114">
        <f t="shared" ref="AC39:AE39" si="136">Z39/$L8</f>
        <v>-0.005459621221</v>
      </c>
      <c r="AD39" s="114">
        <f t="shared" si="136"/>
        <v>-0.0364097311</v>
      </c>
      <c r="AE39" s="114">
        <f t="shared" si="136"/>
        <v>-0.0651089239</v>
      </c>
    </row>
    <row r="40">
      <c r="B40" s="102" t="s">
        <v>228</v>
      </c>
      <c r="D40" s="131"/>
      <c r="E40" s="132"/>
      <c r="F40" s="132"/>
      <c r="O40" s="128"/>
      <c r="T40" s="104">
        <f t="shared" si="125"/>
        <v>66.65548785</v>
      </c>
      <c r="U40" s="106">
        <f t="shared" si="126"/>
        <v>79.47351285</v>
      </c>
      <c r="V40" s="106">
        <f t="shared" si="127"/>
        <v>91.35931785</v>
      </c>
      <c r="W40" s="111">
        <f t="shared" ref="W40:Y40" si="137">$H9*T40</f>
        <v>666.5548785</v>
      </c>
      <c r="X40" s="111">
        <f t="shared" si="137"/>
        <v>794.7351285</v>
      </c>
      <c r="Y40" s="111">
        <f t="shared" si="137"/>
        <v>913.5931785</v>
      </c>
      <c r="Z40" s="113">
        <f t="shared" ref="Z40:AB40" si="138">$S9-W40</f>
        <v>152.0038215</v>
      </c>
      <c r="AA40" s="113">
        <f t="shared" si="138"/>
        <v>23.82357153</v>
      </c>
      <c r="AB40" s="113">
        <f t="shared" si="138"/>
        <v>-95.03447847</v>
      </c>
      <c r="AC40" s="114">
        <f t="shared" ref="AC40:AE40" si="139">Z40/$L9</f>
        <v>0.07153407149</v>
      </c>
      <c r="AD40" s="114">
        <f t="shared" si="139"/>
        <v>0.01121154095</v>
      </c>
      <c r="AE40" s="114">
        <f t="shared" si="139"/>
        <v>-0.04472389647</v>
      </c>
    </row>
    <row r="41">
      <c r="B41" s="102" t="s">
        <v>229</v>
      </c>
      <c r="D41" s="131"/>
      <c r="E41" s="132"/>
      <c r="F41" s="132"/>
      <c r="T41" s="104">
        <f t="shared" si="125"/>
        <v>18.67845833</v>
      </c>
      <c r="U41" s="106">
        <f t="shared" si="126"/>
        <v>22.36125833</v>
      </c>
      <c r="V41" s="106">
        <f t="shared" si="127"/>
        <v>25.77621833</v>
      </c>
      <c r="W41" s="111">
        <f t="shared" ref="W41:Y41" si="140">$H10*T41</f>
        <v>336.21225</v>
      </c>
      <c r="X41" s="111">
        <f t="shared" si="140"/>
        <v>402.50265</v>
      </c>
      <c r="Y41" s="111">
        <f t="shared" si="140"/>
        <v>463.97193</v>
      </c>
      <c r="Z41" s="113">
        <f t="shared" ref="Z41:AB41" si="141">$S10-W41</f>
        <v>196.33341</v>
      </c>
      <c r="AA41" s="113">
        <f t="shared" si="141"/>
        <v>130.04301</v>
      </c>
      <c r="AB41" s="113">
        <f t="shared" si="141"/>
        <v>68.57373</v>
      </c>
      <c r="AC41" s="114">
        <f t="shared" ref="AC41:AE41" si="142">Z41/$L10</f>
        <v>0.1283353237</v>
      </c>
      <c r="AD41" s="114">
        <f t="shared" si="142"/>
        <v>0.08500393177</v>
      </c>
      <c r="AE41" s="114">
        <f t="shared" si="142"/>
        <v>0.04482391376</v>
      </c>
    </row>
    <row r="42">
      <c r="B42" s="119" t="s">
        <v>230</v>
      </c>
      <c r="D42" s="7"/>
      <c r="W42" s="125">
        <f t="shared" ref="W42:AB42" si="143">sum(W36:W41)</f>
        <v>3789.926468</v>
      </c>
      <c r="X42" s="125">
        <f t="shared" si="143"/>
        <v>4385.797568</v>
      </c>
      <c r="Y42" s="125">
        <f t="shared" si="143"/>
        <v>4938.332588</v>
      </c>
      <c r="Z42" s="123">
        <f t="shared" si="143"/>
        <v>1217.050322</v>
      </c>
      <c r="AA42" s="123">
        <f t="shared" si="143"/>
        <v>621.1792218</v>
      </c>
      <c r="AB42" s="123">
        <f t="shared" si="143"/>
        <v>68.64420183</v>
      </c>
      <c r="AC42" s="133">
        <f t="shared" ref="AC42:AE42" si="144">Z42/$L31</f>
        <v>0.02865385386</v>
      </c>
      <c r="AD42" s="133">
        <f t="shared" si="144"/>
        <v>0.0146248502</v>
      </c>
      <c r="AE42" s="133">
        <f t="shared" si="144"/>
        <v>0.001616137716</v>
      </c>
    </row>
    <row r="44">
      <c r="H44" s="7">
        <v>30.0</v>
      </c>
      <c r="I44" s="7">
        <v>79.99</v>
      </c>
      <c r="J44" s="70">
        <f t="shared" ref="J44:J64" si="145">H44*I44</f>
        <v>2399.7</v>
      </c>
      <c r="T44" s="134" t="s">
        <v>237</v>
      </c>
    </row>
    <row r="45">
      <c r="D45" s="7"/>
      <c r="H45" s="7">
        <v>2.0</v>
      </c>
      <c r="I45" s="7">
        <v>699.99</v>
      </c>
      <c r="J45" s="70">
        <f t="shared" si="145"/>
        <v>1399.98</v>
      </c>
    </row>
    <row r="46">
      <c r="H46" s="7">
        <v>4.0</v>
      </c>
      <c r="I46" s="7">
        <v>169.99</v>
      </c>
      <c r="J46" s="70">
        <f t="shared" si="145"/>
        <v>679.96</v>
      </c>
      <c r="N46" s="74"/>
      <c r="T46" s="88" t="s">
        <v>238</v>
      </c>
    </row>
    <row r="47">
      <c r="H47" s="7">
        <v>32.0</v>
      </c>
      <c r="I47" s="7">
        <v>189.99</v>
      </c>
      <c r="J47" s="70">
        <f t="shared" si="145"/>
        <v>6079.68</v>
      </c>
      <c r="T47" s="7" t="s">
        <v>239</v>
      </c>
    </row>
    <row r="48">
      <c r="H48" s="7">
        <v>22.0</v>
      </c>
      <c r="I48" s="7">
        <v>419.99</v>
      </c>
      <c r="J48" s="70">
        <f t="shared" si="145"/>
        <v>9239.78</v>
      </c>
      <c r="T48" s="7" t="s">
        <v>240</v>
      </c>
    </row>
    <row r="49">
      <c r="H49" s="7">
        <v>24.0</v>
      </c>
      <c r="I49" s="7">
        <v>379.99</v>
      </c>
      <c r="J49" s="70">
        <f t="shared" si="145"/>
        <v>9119.76</v>
      </c>
      <c r="T49" s="7" t="s">
        <v>241</v>
      </c>
    </row>
    <row r="50">
      <c r="H50" s="7">
        <v>34.0</v>
      </c>
      <c r="I50" s="7">
        <v>309.99</v>
      </c>
      <c r="J50" s="70">
        <f t="shared" si="145"/>
        <v>10539.66</v>
      </c>
      <c r="T50" s="7" t="s">
        <v>242</v>
      </c>
    </row>
    <row r="51">
      <c r="H51" s="7">
        <v>26.0</v>
      </c>
      <c r="I51" s="7">
        <v>249.99</v>
      </c>
      <c r="J51" s="70">
        <f t="shared" si="145"/>
        <v>6499.74</v>
      </c>
    </row>
    <row r="52">
      <c r="H52" s="7">
        <v>2.0</v>
      </c>
      <c r="I52" s="70">
        <f>249.99+199.99</f>
        <v>449.98</v>
      </c>
      <c r="J52" s="70">
        <f t="shared" si="145"/>
        <v>899.96</v>
      </c>
      <c r="T52" s="88" t="s">
        <v>243</v>
      </c>
    </row>
    <row r="53">
      <c r="H53" s="7">
        <v>2.0</v>
      </c>
      <c r="I53" s="70">
        <f>199.99+229.99</f>
        <v>429.98</v>
      </c>
      <c r="J53" s="70">
        <f t="shared" si="145"/>
        <v>859.96</v>
      </c>
      <c r="T53" s="7" t="s">
        <v>244</v>
      </c>
    </row>
    <row r="54">
      <c r="H54" s="7">
        <v>17.0</v>
      </c>
      <c r="I54" s="7">
        <v>279.99</v>
      </c>
      <c r="J54" s="70">
        <f t="shared" si="145"/>
        <v>4759.83</v>
      </c>
      <c r="T54" s="7" t="s">
        <v>245</v>
      </c>
    </row>
    <row r="55">
      <c r="H55" s="7">
        <v>4.0</v>
      </c>
      <c r="I55" s="7">
        <v>649.99</v>
      </c>
      <c r="J55" s="70">
        <f t="shared" si="145"/>
        <v>2599.96</v>
      </c>
      <c r="T55" s="7" t="s">
        <v>246</v>
      </c>
    </row>
    <row r="56">
      <c r="H56" s="7">
        <v>2.0</v>
      </c>
      <c r="I56" s="7">
        <v>449.99</v>
      </c>
      <c r="J56" s="70">
        <f t="shared" si="145"/>
        <v>899.98</v>
      </c>
      <c r="T56" s="7" t="s">
        <v>247</v>
      </c>
    </row>
    <row r="57">
      <c r="H57" s="7">
        <v>29.0</v>
      </c>
      <c r="I57" s="7">
        <v>279.99</v>
      </c>
      <c r="J57" s="70">
        <f t="shared" si="145"/>
        <v>8119.71</v>
      </c>
      <c r="T57" s="7" t="s">
        <v>248</v>
      </c>
    </row>
    <row r="58">
      <c r="H58" s="7">
        <v>7.0</v>
      </c>
      <c r="I58" s="7">
        <v>154.99</v>
      </c>
      <c r="J58" s="70">
        <f t="shared" si="145"/>
        <v>1084.93</v>
      </c>
      <c r="T58" s="88" t="s">
        <v>249</v>
      </c>
    </row>
    <row r="59">
      <c r="H59" s="7">
        <v>33.0</v>
      </c>
      <c r="I59" s="7">
        <v>139.99</v>
      </c>
      <c r="J59" s="70">
        <f t="shared" si="145"/>
        <v>4619.67</v>
      </c>
      <c r="T59" s="88"/>
    </row>
    <row r="60">
      <c r="H60" s="7">
        <v>12.0</v>
      </c>
      <c r="I60" s="7">
        <v>139.99</v>
      </c>
      <c r="J60" s="70">
        <f t="shared" si="145"/>
        <v>1679.88</v>
      </c>
      <c r="T60" s="88" t="s">
        <v>250</v>
      </c>
    </row>
    <row r="61">
      <c r="H61" s="7">
        <v>19.0</v>
      </c>
      <c r="I61" s="7">
        <v>149.99</v>
      </c>
      <c r="J61" s="70">
        <f t="shared" si="145"/>
        <v>2849.81</v>
      </c>
      <c r="T61" s="7" t="s">
        <v>251</v>
      </c>
    </row>
    <row r="62">
      <c r="H62" s="7">
        <v>28.0</v>
      </c>
      <c r="I62" s="7">
        <v>94.99</v>
      </c>
      <c r="J62" s="70">
        <f t="shared" si="145"/>
        <v>2659.72</v>
      </c>
      <c r="T62" s="7" t="s">
        <v>252</v>
      </c>
    </row>
    <row r="63">
      <c r="H63" s="7">
        <v>33.0</v>
      </c>
      <c r="I63" s="7">
        <v>259.99</v>
      </c>
      <c r="J63" s="70">
        <f t="shared" si="145"/>
        <v>8579.67</v>
      </c>
      <c r="T63" s="88"/>
    </row>
    <row r="64">
      <c r="H64" s="7">
        <v>44.0</v>
      </c>
      <c r="I64" s="7">
        <v>199.99</v>
      </c>
      <c r="J64" s="70">
        <f t="shared" si="145"/>
        <v>8799.56</v>
      </c>
      <c r="T64" s="88" t="s">
        <v>253</v>
      </c>
    </row>
    <row r="65">
      <c r="J65" s="70">
        <f>sum(J44:J64)</f>
        <v>94370.9</v>
      </c>
      <c r="T65" s="7" t="s">
        <v>254</v>
      </c>
    </row>
    <row r="67">
      <c r="T67" s="88" t="s">
        <v>255</v>
      </c>
    </row>
    <row r="69">
      <c r="G69" s="7" t="s">
        <v>272</v>
      </c>
    </row>
    <row r="70">
      <c r="G70" s="7" t="s">
        <v>273</v>
      </c>
    </row>
    <row r="71">
      <c r="G71" s="7" t="s">
        <v>274</v>
      </c>
    </row>
    <row r="72">
      <c r="G72" s="7" t="s">
        <v>275</v>
      </c>
    </row>
    <row r="77">
      <c r="H77" s="7"/>
      <c r="I77" s="7"/>
    </row>
    <row r="78">
      <c r="G78" s="3" t="s">
        <v>276</v>
      </c>
      <c r="H78" s="3" t="s">
        <v>277</v>
      </c>
      <c r="I78" s="7"/>
    </row>
    <row r="79">
      <c r="G79" s="3">
        <v>7.0</v>
      </c>
      <c r="H79" s="3">
        <v>3.9</v>
      </c>
      <c r="I79" s="181">
        <f t="shared" ref="I79:I84" si="146">G79*H79</f>
        <v>27.3</v>
      </c>
    </row>
    <row r="80">
      <c r="G80" s="3">
        <v>36.0</v>
      </c>
      <c r="H80" s="3">
        <v>4.4</v>
      </c>
      <c r="I80" s="181">
        <f t="shared" si="146"/>
        <v>158.4</v>
      </c>
    </row>
    <row r="81">
      <c r="G81" s="3">
        <v>3.0</v>
      </c>
      <c r="H81" s="3">
        <v>5.0</v>
      </c>
      <c r="I81" s="181">
        <f t="shared" si="146"/>
        <v>15</v>
      </c>
    </row>
    <row r="82">
      <c r="G82" s="3">
        <v>8.0</v>
      </c>
      <c r="H82" s="3">
        <v>3.9</v>
      </c>
      <c r="I82" s="181">
        <f t="shared" si="146"/>
        <v>31.2</v>
      </c>
    </row>
    <row r="83">
      <c r="G83" s="3">
        <v>8.0</v>
      </c>
      <c r="H83" s="3">
        <v>3.8</v>
      </c>
      <c r="I83" s="181">
        <f t="shared" si="146"/>
        <v>30.4</v>
      </c>
    </row>
    <row r="84">
      <c r="G84" s="3">
        <v>5.0</v>
      </c>
      <c r="H84" s="3">
        <v>4.0</v>
      </c>
      <c r="I84" s="181">
        <f t="shared" si="146"/>
        <v>20</v>
      </c>
    </row>
    <row r="85">
      <c r="G85" s="181">
        <f>SUM(G79:G84)</f>
        <v>67</v>
      </c>
      <c r="H85" s="181"/>
      <c r="I85" s="181">
        <f>SUM(I79:I84)</f>
        <v>282.3</v>
      </c>
      <c r="K85" s="70">
        <f>I85/G85</f>
        <v>4.213432836</v>
      </c>
    </row>
    <row r="88">
      <c r="G88" s="70">
        <f>G85/0.15</f>
        <v>446.6666667</v>
      </c>
    </row>
    <row r="92">
      <c r="G92" s="70">
        <f>19</f>
        <v>19</v>
      </c>
      <c r="H92" s="7" t="s">
        <v>278</v>
      </c>
    </row>
    <row r="93">
      <c r="G93" s="70">
        <f>G92/4</f>
        <v>4.75</v>
      </c>
      <c r="H93" s="7" t="s">
        <v>278</v>
      </c>
    </row>
    <row r="95">
      <c r="G95" s="70">
        <f>31/432</f>
        <v>0.07175925926</v>
      </c>
    </row>
  </sheetData>
  <autoFilter ref="$B$4:$AJ$31"/>
  <conditionalFormatting sqref="AC5:AE31 AC36:AE42">
    <cfRule type="colorScale" priority="1">
      <colorScale>
        <cfvo type="min"/>
        <cfvo type="formula" val="0"/>
        <cfvo type="max"/>
        <color rgb="FFE06666"/>
        <color rgb="FFFFFFFF"/>
        <color rgb="FF93C47D"/>
      </colorScale>
    </cfRule>
  </conditionalFormatting>
  <drawing r:id="rId1"/>
  <tableParts count="5">
    <tablePart r:id="rId7"/>
    <tablePart r:id="rId8"/>
    <tablePart r:id="rId9"/>
    <tablePart r:id="rId10"/>
    <tablePart r:id="rId11"/>
  </tableParts>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pane xSplit="2.0" topLeftCell="C1" activePane="topRight" state="frozen"/>
      <selection activeCell="D2" sqref="D2" pane="topRight"/>
    </sheetView>
  </sheetViews>
  <sheetFormatPr customHeight="1" defaultColWidth="12.63" defaultRowHeight="15.0"/>
  <cols>
    <col customWidth="1" min="1" max="1" width="9.5"/>
    <col customWidth="1" min="2" max="2" width="20.0"/>
    <col customWidth="1" min="3" max="13" width="12.38"/>
    <col customWidth="1" min="14" max="15" width="14.63"/>
    <col customWidth="1" min="16" max="16" width="12.38"/>
    <col customWidth="1" min="17" max="17" width="16.88"/>
    <col customWidth="1" min="18" max="18" width="15.88"/>
    <col customWidth="1" min="19" max="19" width="12.88"/>
    <col customWidth="1" min="20" max="31" width="12.38"/>
    <col customWidth="1" min="32" max="32" width="10.38"/>
    <col customWidth="1" min="33" max="33" width="11.0"/>
    <col customWidth="1" min="34" max="45" width="13.0"/>
  </cols>
  <sheetData>
    <row r="1">
      <c r="A1" s="7"/>
      <c r="B1" s="7"/>
      <c r="Q1" s="7"/>
    </row>
    <row r="2">
      <c r="A2" s="7"/>
      <c r="F2" s="3" t="s">
        <v>0</v>
      </c>
      <c r="M2" s="7" t="s">
        <v>183</v>
      </c>
      <c r="Q2" s="7" t="s">
        <v>184</v>
      </c>
      <c r="R2" s="7" t="s">
        <v>185</v>
      </c>
      <c r="T2" s="7"/>
      <c r="W2" s="7" t="s">
        <v>186</v>
      </c>
    </row>
    <row r="3">
      <c r="D3" s="18">
        <v>0.1</v>
      </c>
      <c r="F3" s="100">
        <v>7.0</v>
      </c>
      <c r="I3" s="18"/>
      <c r="J3" s="19">
        <v>0.15</v>
      </c>
      <c r="L3" s="18"/>
      <c r="M3" s="19">
        <v>0.15</v>
      </c>
      <c r="N3" s="7"/>
      <c r="O3" s="7"/>
      <c r="Q3" s="19">
        <v>0.25</v>
      </c>
      <c r="R3" s="19">
        <v>0.055</v>
      </c>
      <c r="T3" s="7"/>
      <c r="W3" s="3"/>
      <c r="X3" s="3"/>
      <c r="Y3" s="3"/>
      <c r="Z3" s="3"/>
      <c r="AA3" s="3"/>
      <c r="AB3" s="3"/>
    </row>
    <row r="4" ht="61.5" customHeight="1">
      <c r="A4" s="90"/>
      <c r="B4" s="101" t="s">
        <v>3</v>
      </c>
      <c r="C4" s="101" t="s">
        <v>187</v>
      </c>
      <c r="D4" s="101" t="s">
        <v>256</v>
      </c>
      <c r="E4" s="101" t="s">
        <v>189</v>
      </c>
      <c r="F4" s="101" t="s">
        <v>190</v>
      </c>
      <c r="G4" s="101" t="s">
        <v>191</v>
      </c>
      <c r="H4" s="101" t="s">
        <v>192</v>
      </c>
      <c r="I4" s="101" t="s">
        <v>193</v>
      </c>
      <c r="J4" s="101" t="s">
        <v>194</v>
      </c>
      <c r="K4" s="101" t="s">
        <v>195</v>
      </c>
      <c r="L4" s="101" t="s">
        <v>196</v>
      </c>
      <c r="M4" s="101" t="s">
        <v>197</v>
      </c>
      <c r="N4" s="101" t="s">
        <v>198</v>
      </c>
      <c r="O4" s="101" t="s">
        <v>199</v>
      </c>
      <c r="P4" s="101" t="s">
        <v>200</v>
      </c>
      <c r="Q4" s="101" t="s">
        <v>201</v>
      </c>
      <c r="R4" s="101" t="s">
        <v>202</v>
      </c>
      <c r="S4" s="101" t="s">
        <v>203</v>
      </c>
      <c r="T4" s="101" t="s">
        <v>204</v>
      </c>
      <c r="U4" s="101" t="s">
        <v>257</v>
      </c>
      <c r="V4" s="101" t="s">
        <v>206</v>
      </c>
      <c r="W4" s="101" t="s">
        <v>207</v>
      </c>
      <c r="X4" s="101" t="s">
        <v>258</v>
      </c>
      <c r="Y4" s="101" t="s">
        <v>209</v>
      </c>
      <c r="Z4" s="101" t="s">
        <v>210</v>
      </c>
      <c r="AA4" s="101" t="s">
        <v>259</v>
      </c>
      <c r="AB4" s="101" t="s">
        <v>212</v>
      </c>
      <c r="AC4" s="101" t="s">
        <v>213</v>
      </c>
      <c r="AD4" s="101" t="s">
        <v>260</v>
      </c>
      <c r="AE4" s="101" t="s">
        <v>215</v>
      </c>
      <c r="AF4" s="101" t="s">
        <v>216</v>
      </c>
      <c r="AG4" s="101" t="s">
        <v>217</v>
      </c>
      <c r="AH4" s="101" t="s">
        <v>218</v>
      </c>
      <c r="AI4" s="101" t="s">
        <v>261</v>
      </c>
      <c r="AJ4" s="101" t="s">
        <v>220</v>
      </c>
      <c r="AK4" s="101"/>
      <c r="AL4" s="101"/>
      <c r="AM4" s="101"/>
      <c r="AN4" s="101"/>
      <c r="AO4" s="101"/>
      <c r="AP4" s="101"/>
      <c r="AQ4" s="101"/>
      <c r="AR4" s="101"/>
      <c r="AS4" s="101" t="s">
        <v>221</v>
      </c>
    </row>
    <row r="5">
      <c r="B5" s="182" t="s">
        <v>222</v>
      </c>
      <c r="C5" s="103" t="s">
        <v>223</v>
      </c>
      <c r="D5" s="104">
        <v>19.64</v>
      </c>
      <c r="E5" s="105">
        <f t="shared" ref="E5:E6" si="4">23*6*18/12/12/12</f>
        <v>1.4375</v>
      </c>
      <c r="F5" s="104">
        <f t="shared" ref="F5:F25" si="5">E5*$F$3</f>
        <v>10.0625</v>
      </c>
      <c r="G5" s="106">
        <v>149.99</v>
      </c>
      <c r="H5" s="107">
        <v>26.0</v>
      </c>
      <c r="I5" s="108">
        <f t="shared" ref="I5:I25" si="6">G5*H5</f>
        <v>3899.74</v>
      </c>
      <c r="J5" s="109">
        <f t="shared" ref="J5:J10" si="7">$J$3</f>
        <v>0.15</v>
      </c>
      <c r="K5" s="110">
        <f t="shared" ref="K5:K25" si="8">H5*(1-J5)</f>
        <v>22.1</v>
      </c>
      <c r="L5" s="108">
        <f t="shared" ref="L5:L25" si="9">K5*G5</f>
        <v>3314.779</v>
      </c>
      <c r="M5" s="108">
        <f t="shared" ref="M5:M25" si="10">L5*$M$3+3%*(H5-K5)*G5</f>
        <v>514.76568</v>
      </c>
      <c r="N5" s="108">
        <v>16.45</v>
      </c>
      <c r="O5" s="108">
        <f t="shared" ref="O5:O25" si="11">N5*(H5)</f>
        <v>427.7</v>
      </c>
      <c r="P5" s="108">
        <f t="shared" ref="P5:P25" si="12">L5-M5-O5</f>
        <v>2372.31332</v>
      </c>
      <c r="Q5" s="108">
        <f t="shared" ref="Q5:Q25" si="13">I5*$Q$3</f>
        <v>974.935</v>
      </c>
      <c r="R5" s="108">
        <f t="shared" ref="R5:R25" si="14">I5*$R$3</f>
        <v>214.4857</v>
      </c>
      <c r="S5" s="108">
        <f t="shared" ref="S5:S25" si="15">P5-Q5-R5</f>
        <v>1182.89262</v>
      </c>
      <c r="T5" s="104">
        <f t="shared" ref="T5:T25" si="16">F5+D5</f>
        <v>29.7025</v>
      </c>
      <c r="U5" s="106">
        <f t="shared" ref="U5:U25" si="17">D5*(1.05)*(0.15)+D5+F5</f>
        <v>32.7958</v>
      </c>
      <c r="V5" s="106">
        <f t="shared" ref="V5:V25" si="18">D5*(1.07)*(1.5)+F5</f>
        <v>41.5847</v>
      </c>
      <c r="W5" s="111">
        <f t="shared" ref="W5:Y5" si="1">$H5*T5</f>
        <v>772.265</v>
      </c>
      <c r="X5" s="111">
        <f t="shared" si="1"/>
        <v>852.6908</v>
      </c>
      <c r="Y5" s="112">
        <f t="shared" si="1"/>
        <v>1081.2022</v>
      </c>
      <c r="Z5" s="113">
        <f t="shared" ref="Z5:AB5" si="2">$S5-W5</f>
        <v>410.62762</v>
      </c>
      <c r="AA5" s="113">
        <f t="shared" si="2"/>
        <v>330.20182</v>
      </c>
      <c r="AB5" s="113">
        <f t="shared" si="2"/>
        <v>101.69042</v>
      </c>
      <c r="AC5" s="114">
        <f t="shared" ref="AC5:AC26" si="21">Z5/$L5</f>
        <v>0.1238778271</v>
      </c>
      <c r="AD5" s="114">
        <f t="shared" ref="AD5:AD26" si="22">AA5/$I5</f>
        <v>0.08467277819</v>
      </c>
      <c r="AE5" s="114">
        <f t="shared" ref="AE5:AE26" si="23">AB5/$L5</f>
        <v>0.03067788833</v>
      </c>
      <c r="AF5" s="115">
        <f t="shared" ref="AF5:AF26" si="24">AS5/AG5</f>
        <v>0.05714285714</v>
      </c>
      <c r="AG5" s="116">
        <v>35.0</v>
      </c>
      <c r="AH5" s="117">
        <f t="shared" ref="AH5:AJ5" si="3">W5/$L5</f>
        <v>0.2329763161</v>
      </c>
      <c r="AI5" s="117">
        <f t="shared" si="3"/>
        <v>0.2572391101</v>
      </c>
      <c r="AJ5" s="117">
        <f t="shared" si="3"/>
        <v>0.3261762549</v>
      </c>
      <c r="AK5" s="116"/>
      <c r="AL5" s="116"/>
      <c r="AM5" s="116"/>
      <c r="AN5" s="116"/>
      <c r="AO5" s="116"/>
      <c r="AP5" s="116"/>
      <c r="AQ5" s="116"/>
      <c r="AR5" s="116"/>
      <c r="AS5" s="116">
        <v>2.0</v>
      </c>
    </row>
    <row r="6">
      <c r="B6" s="182" t="s">
        <v>224</v>
      </c>
      <c r="C6" s="103" t="s">
        <v>223</v>
      </c>
      <c r="D6" s="104">
        <v>19.64</v>
      </c>
      <c r="E6" s="105">
        <f t="shared" si="4"/>
        <v>1.4375</v>
      </c>
      <c r="F6" s="104">
        <f t="shared" si="5"/>
        <v>10.0625</v>
      </c>
      <c r="G6" s="106">
        <v>149.99</v>
      </c>
      <c r="H6" s="107">
        <v>26.0</v>
      </c>
      <c r="I6" s="108">
        <f t="shared" si="6"/>
        <v>3899.74</v>
      </c>
      <c r="J6" s="109">
        <f t="shared" si="7"/>
        <v>0.15</v>
      </c>
      <c r="K6" s="110">
        <f t="shared" si="8"/>
        <v>22.1</v>
      </c>
      <c r="L6" s="108">
        <f t="shared" si="9"/>
        <v>3314.779</v>
      </c>
      <c r="M6" s="108">
        <f t="shared" si="10"/>
        <v>514.76568</v>
      </c>
      <c r="N6" s="108">
        <v>16.45</v>
      </c>
      <c r="O6" s="108">
        <f t="shared" si="11"/>
        <v>427.7</v>
      </c>
      <c r="P6" s="108">
        <f t="shared" si="12"/>
        <v>2372.31332</v>
      </c>
      <c r="Q6" s="108">
        <f t="shared" si="13"/>
        <v>974.935</v>
      </c>
      <c r="R6" s="108">
        <f t="shared" si="14"/>
        <v>214.4857</v>
      </c>
      <c r="S6" s="108">
        <f t="shared" si="15"/>
        <v>1182.89262</v>
      </c>
      <c r="T6" s="104">
        <f t="shared" si="16"/>
        <v>29.7025</v>
      </c>
      <c r="U6" s="106">
        <f t="shared" si="17"/>
        <v>32.7958</v>
      </c>
      <c r="V6" s="106">
        <f t="shared" si="18"/>
        <v>41.5847</v>
      </c>
      <c r="W6" s="111">
        <f t="shared" ref="W6:Y6" si="19">$H6*T6</f>
        <v>772.265</v>
      </c>
      <c r="X6" s="111">
        <f t="shared" si="19"/>
        <v>852.6908</v>
      </c>
      <c r="Y6" s="112">
        <f t="shared" si="19"/>
        <v>1081.2022</v>
      </c>
      <c r="Z6" s="113">
        <f t="shared" ref="Z6:AB6" si="20">$S6-W6</f>
        <v>410.62762</v>
      </c>
      <c r="AA6" s="113">
        <f t="shared" si="20"/>
        <v>330.20182</v>
      </c>
      <c r="AB6" s="113">
        <f t="shared" si="20"/>
        <v>101.69042</v>
      </c>
      <c r="AC6" s="114">
        <f t="shared" si="21"/>
        <v>0.1238778271</v>
      </c>
      <c r="AD6" s="114">
        <f t="shared" si="22"/>
        <v>0.08467277819</v>
      </c>
      <c r="AE6" s="114">
        <f t="shared" si="23"/>
        <v>0.03067788833</v>
      </c>
      <c r="AF6" s="115">
        <f t="shared" si="24"/>
        <v>0.08108108108</v>
      </c>
      <c r="AG6" s="116">
        <v>37.0</v>
      </c>
      <c r="AH6" s="117">
        <f t="shared" ref="AH6:AH26" si="28">W6/L6</f>
        <v>0.2329763161</v>
      </c>
      <c r="AI6" s="117">
        <f t="shared" ref="AI6:AJ6" si="25">X6/$L6</f>
        <v>0.2572391101</v>
      </c>
      <c r="AJ6" s="117">
        <f t="shared" si="25"/>
        <v>0.3261762549</v>
      </c>
      <c r="AK6" s="116"/>
      <c r="AL6" s="116"/>
      <c r="AM6" s="116"/>
      <c r="AN6" s="116"/>
      <c r="AO6" s="116"/>
      <c r="AP6" s="116"/>
      <c r="AQ6" s="116"/>
      <c r="AR6" s="116"/>
      <c r="AS6" s="116">
        <v>3.0</v>
      </c>
    </row>
    <row r="7">
      <c r="A7" s="104">
        <v>17.26</v>
      </c>
      <c r="B7" s="166" t="s">
        <v>225</v>
      </c>
      <c r="C7" s="103" t="s">
        <v>226</v>
      </c>
      <c r="D7" s="111">
        <f t="shared" ref="D7:D9" si="30">A7*(1-$D$3)</f>
        <v>15.534</v>
      </c>
      <c r="E7" s="105">
        <v>3.2</v>
      </c>
      <c r="F7" s="104">
        <f t="shared" si="5"/>
        <v>22.4</v>
      </c>
      <c r="G7" s="106">
        <v>149.99</v>
      </c>
      <c r="H7" s="107">
        <v>21.0</v>
      </c>
      <c r="I7" s="108">
        <f t="shared" si="6"/>
        <v>3149.79</v>
      </c>
      <c r="J7" s="109">
        <f t="shared" si="7"/>
        <v>0.15</v>
      </c>
      <c r="K7" s="110">
        <f t="shared" si="8"/>
        <v>17.85</v>
      </c>
      <c r="L7" s="108">
        <f t="shared" si="9"/>
        <v>2677.3215</v>
      </c>
      <c r="M7" s="108">
        <f t="shared" si="10"/>
        <v>415.77228</v>
      </c>
      <c r="N7" s="108">
        <v>25.85</v>
      </c>
      <c r="O7" s="108">
        <f t="shared" si="11"/>
        <v>542.85</v>
      </c>
      <c r="P7" s="108">
        <f t="shared" si="12"/>
        <v>1718.69922</v>
      </c>
      <c r="Q7" s="108">
        <f t="shared" si="13"/>
        <v>787.4475</v>
      </c>
      <c r="R7" s="108">
        <f t="shared" si="14"/>
        <v>173.23845</v>
      </c>
      <c r="S7" s="108">
        <f t="shared" si="15"/>
        <v>758.01327</v>
      </c>
      <c r="T7" s="104">
        <f t="shared" si="16"/>
        <v>37.934</v>
      </c>
      <c r="U7" s="106">
        <f t="shared" si="17"/>
        <v>40.380605</v>
      </c>
      <c r="V7" s="106">
        <f t="shared" si="18"/>
        <v>47.33207</v>
      </c>
      <c r="W7" s="111">
        <f t="shared" ref="W7:Y7" si="26">$H7*T7</f>
        <v>796.614</v>
      </c>
      <c r="X7" s="111">
        <f t="shared" si="26"/>
        <v>847.992705</v>
      </c>
      <c r="Y7" s="112">
        <f t="shared" si="26"/>
        <v>993.97347</v>
      </c>
      <c r="Z7" s="113">
        <f t="shared" ref="Z7:AB7" si="27">$S7-W7</f>
        <v>-38.60073</v>
      </c>
      <c r="AA7" s="113">
        <f t="shared" si="27"/>
        <v>-89.979435</v>
      </c>
      <c r="AB7" s="113">
        <f t="shared" si="27"/>
        <v>-235.9602</v>
      </c>
      <c r="AC7" s="114">
        <f t="shared" si="21"/>
        <v>-0.01441766706</v>
      </c>
      <c r="AD7" s="114">
        <f t="shared" si="22"/>
        <v>-0.02856680445</v>
      </c>
      <c r="AE7" s="114">
        <f t="shared" si="23"/>
        <v>-0.08813293435</v>
      </c>
      <c r="AF7" s="115">
        <f t="shared" si="24"/>
        <v>0.1369863014</v>
      </c>
      <c r="AG7" s="116">
        <v>73.0</v>
      </c>
      <c r="AH7" s="117">
        <f t="shared" si="28"/>
        <v>0.2975414047</v>
      </c>
      <c r="AI7" s="117">
        <f t="shared" ref="AI7:AJ7" si="29">X7/$L7</f>
        <v>0.3167317429</v>
      </c>
      <c r="AJ7" s="117">
        <f t="shared" si="29"/>
        <v>0.371256672</v>
      </c>
      <c r="AK7" s="116"/>
      <c r="AL7" s="116"/>
      <c r="AM7" s="116"/>
      <c r="AN7" s="116"/>
      <c r="AO7" s="116"/>
      <c r="AP7" s="116"/>
      <c r="AQ7" s="116"/>
      <c r="AR7" s="116"/>
      <c r="AS7" s="116">
        <v>10.0</v>
      </c>
    </row>
    <row r="8">
      <c r="A8" s="104">
        <v>14.88</v>
      </c>
      <c r="B8" s="166" t="s">
        <v>227</v>
      </c>
      <c r="C8" s="103" t="s">
        <v>226</v>
      </c>
      <c r="D8" s="111">
        <f t="shared" si="30"/>
        <v>13.392</v>
      </c>
      <c r="E8" s="105">
        <v>2.9</v>
      </c>
      <c r="F8" s="104">
        <f t="shared" si="5"/>
        <v>20.3</v>
      </c>
      <c r="G8" s="106">
        <v>139.99</v>
      </c>
      <c r="H8" s="107">
        <v>16.0</v>
      </c>
      <c r="I8" s="108">
        <f t="shared" si="6"/>
        <v>2239.84</v>
      </c>
      <c r="J8" s="109">
        <f t="shared" si="7"/>
        <v>0.15</v>
      </c>
      <c r="K8" s="110">
        <f t="shared" si="8"/>
        <v>13.6</v>
      </c>
      <c r="L8" s="108">
        <f t="shared" si="9"/>
        <v>1903.864</v>
      </c>
      <c r="M8" s="108">
        <f t="shared" si="10"/>
        <v>295.65888</v>
      </c>
      <c r="N8" s="108">
        <v>24.33</v>
      </c>
      <c r="O8" s="108">
        <f t="shared" si="11"/>
        <v>389.28</v>
      </c>
      <c r="P8" s="108">
        <f t="shared" si="12"/>
        <v>1218.92512</v>
      </c>
      <c r="Q8" s="108">
        <f t="shared" si="13"/>
        <v>559.96</v>
      </c>
      <c r="R8" s="108">
        <f t="shared" si="14"/>
        <v>123.1912</v>
      </c>
      <c r="S8" s="108">
        <f t="shared" si="15"/>
        <v>535.77392</v>
      </c>
      <c r="T8" s="104">
        <f t="shared" si="16"/>
        <v>33.692</v>
      </c>
      <c r="U8" s="106">
        <f t="shared" si="17"/>
        <v>35.80124</v>
      </c>
      <c r="V8" s="106">
        <f t="shared" si="18"/>
        <v>41.79416</v>
      </c>
      <c r="W8" s="111">
        <f t="shared" ref="W8:Y8" si="31">$H8*T8</f>
        <v>539.072</v>
      </c>
      <c r="X8" s="111">
        <f t="shared" si="31"/>
        <v>572.81984</v>
      </c>
      <c r="Y8" s="112">
        <f t="shared" si="31"/>
        <v>668.70656</v>
      </c>
      <c r="Z8" s="113">
        <f t="shared" ref="Z8:AB8" si="32">$S8-W8</f>
        <v>-3.29808</v>
      </c>
      <c r="AA8" s="113">
        <f t="shared" si="32"/>
        <v>-37.04592</v>
      </c>
      <c r="AB8" s="113">
        <f t="shared" si="32"/>
        <v>-132.93264</v>
      </c>
      <c r="AC8" s="114">
        <f t="shared" si="21"/>
        <v>-0.00173230861</v>
      </c>
      <c r="AD8" s="114">
        <f t="shared" si="22"/>
        <v>-0.01653953854</v>
      </c>
      <c r="AE8" s="114">
        <f t="shared" si="23"/>
        <v>-0.06982255035</v>
      </c>
      <c r="AF8" s="115">
        <f t="shared" si="24"/>
        <v>0.2051282051</v>
      </c>
      <c r="AG8" s="116">
        <v>39.0</v>
      </c>
      <c r="AH8" s="117">
        <f t="shared" si="28"/>
        <v>0.2831462752</v>
      </c>
      <c r="AI8" s="117">
        <f t="shared" ref="AI8:AJ8" si="33">X8/$L8</f>
        <v>0.3008722472</v>
      </c>
      <c r="AJ8" s="117">
        <f t="shared" si="33"/>
        <v>0.3512365169</v>
      </c>
      <c r="AK8" s="116"/>
      <c r="AL8" s="116"/>
      <c r="AM8" s="116"/>
      <c r="AN8" s="116"/>
      <c r="AO8" s="116"/>
      <c r="AP8" s="116"/>
      <c r="AQ8" s="116"/>
      <c r="AR8" s="116"/>
      <c r="AS8" s="116">
        <v>8.0</v>
      </c>
    </row>
    <row r="9">
      <c r="A9" s="104">
        <v>51.79</v>
      </c>
      <c r="B9" s="166" t="s">
        <v>228</v>
      </c>
      <c r="C9" s="103" t="s">
        <v>223</v>
      </c>
      <c r="D9" s="111">
        <f t="shared" si="30"/>
        <v>46.611</v>
      </c>
      <c r="E9" s="105">
        <f>17.5*19.5*14.5/12/12/12</f>
        <v>2.863498264</v>
      </c>
      <c r="F9" s="104">
        <f t="shared" si="5"/>
        <v>20.04448785</v>
      </c>
      <c r="G9" s="118">
        <v>249.0</v>
      </c>
      <c r="H9" s="107">
        <v>10.0</v>
      </c>
      <c r="I9" s="108">
        <f t="shared" si="6"/>
        <v>2490</v>
      </c>
      <c r="J9" s="109">
        <f t="shared" si="7"/>
        <v>0.15</v>
      </c>
      <c r="K9" s="110">
        <f t="shared" si="8"/>
        <v>8.5</v>
      </c>
      <c r="L9" s="108">
        <f t="shared" si="9"/>
        <v>2116.5</v>
      </c>
      <c r="M9" s="108">
        <f t="shared" si="10"/>
        <v>328.68</v>
      </c>
      <c r="N9" s="108">
        <v>23.95</v>
      </c>
      <c r="O9" s="108">
        <f t="shared" si="11"/>
        <v>239.5</v>
      </c>
      <c r="P9" s="108">
        <f t="shared" si="12"/>
        <v>1548.32</v>
      </c>
      <c r="Q9" s="108">
        <f t="shared" si="13"/>
        <v>622.5</v>
      </c>
      <c r="R9" s="108">
        <f t="shared" si="14"/>
        <v>136.95</v>
      </c>
      <c r="S9" s="108">
        <f t="shared" si="15"/>
        <v>788.87</v>
      </c>
      <c r="T9" s="104">
        <f t="shared" si="16"/>
        <v>66.65548785</v>
      </c>
      <c r="U9" s="106">
        <f t="shared" si="17"/>
        <v>73.99672035</v>
      </c>
      <c r="V9" s="106">
        <f t="shared" si="18"/>
        <v>94.85514285</v>
      </c>
      <c r="W9" s="111">
        <f t="shared" ref="W9:Y9" si="34">$H9*T9</f>
        <v>666.5548785</v>
      </c>
      <c r="X9" s="111">
        <f t="shared" si="34"/>
        <v>739.9672035</v>
      </c>
      <c r="Y9" s="112">
        <f t="shared" si="34"/>
        <v>948.5514285</v>
      </c>
      <c r="Z9" s="113">
        <f t="shared" ref="Z9:AB9" si="35">$S9-W9</f>
        <v>122.3151215</v>
      </c>
      <c r="AA9" s="113">
        <f t="shared" si="35"/>
        <v>48.90279653</v>
      </c>
      <c r="AB9" s="113">
        <f t="shared" si="35"/>
        <v>-159.6814285</v>
      </c>
      <c r="AC9" s="114">
        <f t="shared" si="21"/>
        <v>0.05779122208</v>
      </c>
      <c r="AD9" s="114">
        <f t="shared" si="22"/>
        <v>0.01963967732</v>
      </c>
      <c r="AE9" s="114">
        <f t="shared" si="23"/>
        <v>-0.07544598558</v>
      </c>
      <c r="AF9" s="115">
        <f t="shared" si="24"/>
        <v>0.3076923077</v>
      </c>
      <c r="AG9" s="116">
        <v>39.0</v>
      </c>
      <c r="AH9" s="117">
        <f t="shared" si="28"/>
        <v>0.3149326144</v>
      </c>
      <c r="AI9" s="117">
        <f t="shared" ref="AI9:AJ9" si="36">X9/$L9</f>
        <v>0.3496183338</v>
      </c>
      <c r="AJ9" s="117">
        <f t="shared" si="36"/>
        <v>0.4481698221</v>
      </c>
      <c r="AK9" s="116"/>
      <c r="AL9" s="116"/>
      <c r="AM9" s="116"/>
      <c r="AN9" s="116"/>
      <c r="AO9" s="116"/>
      <c r="AP9" s="116"/>
      <c r="AQ9" s="116"/>
      <c r="AR9" s="116"/>
      <c r="AS9" s="116">
        <v>12.0</v>
      </c>
    </row>
    <row r="10">
      <c r="B10" s="182" t="s">
        <v>229</v>
      </c>
      <c r="C10" s="103" t="s">
        <v>223</v>
      </c>
      <c r="D10" s="104">
        <v>14.88</v>
      </c>
      <c r="E10" s="105">
        <f>14.5*15*6/12/12/12</f>
        <v>0.7552083333</v>
      </c>
      <c r="F10" s="104">
        <f t="shared" si="5"/>
        <v>5.286458333</v>
      </c>
      <c r="G10" s="106">
        <v>99.99</v>
      </c>
      <c r="H10" s="107">
        <v>18.0</v>
      </c>
      <c r="I10" s="108">
        <f t="shared" si="6"/>
        <v>1799.82</v>
      </c>
      <c r="J10" s="109">
        <f t="shared" si="7"/>
        <v>0.15</v>
      </c>
      <c r="K10" s="110">
        <f t="shared" si="8"/>
        <v>15.3</v>
      </c>
      <c r="L10" s="108">
        <f t="shared" si="9"/>
        <v>1529.847</v>
      </c>
      <c r="M10" s="108">
        <f t="shared" si="10"/>
        <v>237.57624</v>
      </c>
      <c r="N10" s="108">
        <v>11.71</v>
      </c>
      <c r="O10" s="108">
        <f t="shared" si="11"/>
        <v>210.78</v>
      </c>
      <c r="P10" s="108">
        <f t="shared" si="12"/>
        <v>1081.49076</v>
      </c>
      <c r="Q10" s="108">
        <f t="shared" si="13"/>
        <v>449.955</v>
      </c>
      <c r="R10" s="108">
        <f t="shared" si="14"/>
        <v>98.9901</v>
      </c>
      <c r="S10" s="108">
        <f t="shared" si="15"/>
        <v>532.54566</v>
      </c>
      <c r="T10" s="104">
        <f t="shared" si="16"/>
        <v>20.16645833</v>
      </c>
      <c r="U10" s="106">
        <f t="shared" si="17"/>
        <v>22.51005833</v>
      </c>
      <c r="V10" s="106">
        <f t="shared" si="18"/>
        <v>29.16885833</v>
      </c>
      <c r="W10" s="111">
        <f t="shared" ref="W10:Y10" si="37">$H10*T10</f>
        <v>362.99625</v>
      </c>
      <c r="X10" s="111">
        <f t="shared" si="37"/>
        <v>405.18105</v>
      </c>
      <c r="Y10" s="112">
        <f t="shared" si="37"/>
        <v>525.03945</v>
      </c>
      <c r="Z10" s="113">
        <f t="shared" ref="Z10:AB10" si="38">$S10-W10</f>
        <v>169.54941</v>
      </c>
      <c r="AA10" s="113">
        <f t="shared" si="38"/>
        <v>127.36461</v>
      </c>
      <c r="AB10" s="113">
        <f t="shared" si="38"/>
        <v>7.50621</v>
      </c>
      <c r="AC10" s="114">
        <f t="shared" si="21"/>
        <v>0.1108276906</v>
      </c>
      <c r="AD10" s="114">
        <f t="shared" si="22"/>
        <v>0.07076519319</v>
      </c>
      <c r="AE10" s="114">
        <f t="shared" si="23"/>
        <v>0.004906510259</v>
      </c>
      <c r="AF10" s="115">
        <f t="shared" si="24"/>
        <v>0.1071428571</v>
      </c>
      <c r="AG10" s="116">
        <v>56.0</v>
      </c>
      <c r="AH10" s="117">
        <f t="shared" si="28"/>
        <v>0.2372761786</v>
      </c>
      <c r="AI10" s="117">
        <f t="shared" ref="AI10:AJ10" si="39">X10/$L10</f>
        <v>0.2648507008</v>
      </c>
      <c r="AJ10" s="117">
        <f t="shared" si="39"/>
        <v>0.343197359</v>
      </c>
      <c r="AK10" s="116"/>
      <c r="AL10" s="116"/>
      <c r="AM10" s="116"/>
      <c r="AN10" s="116"/>
      <c r="AO10" s="116"/>
      <c r="AP10" s="116"/>
      <c r="AQ10" s="116"/>
      <c r="AR10" s="116"/>
      <c r="AS10" s="116">
        <v>6.0</v>
      </c>
    </row>
    <row r="11">
      <c r="A11" s="111">
        <v>26.67</v>
      </c>
      <c r="B11" s="183" t="s">
        <v>52</v>
      </c>
      <c r="C11" s="103" t="s">
        <v>226</v>
      </c>
      <c r="D11" s="111">
        <f t="shared" ref="D11:D24" si="43">A11*(1-$D$3)</f>
        <v>24.003</v>
      </c>
      <c r="E11" s="105">
        <v>1.6042</v>
      </c>
      <c r="F11" s="104">
        <f t="shared" si="5"/>
        <v>11.2294</v>
      </c>
      <c r="G11" s="106">
        <v>149.99</v>
      </c>
      <c r="H11" s="165">
        <v>26.0</v>
      </c>
      <c r="I11" s="108">
        <f t="shared" si="6"/>
        <v>3899.74</v>
      </c>
      <c r="J11" s="109">
        <v>0.15</v>
      </c>
      <c r="K11" s="110">
        <f t="shared" si="8"/>
        <v>22.1</v>
      </c>
      <c r="L11" s="108">
        <f t="shared" si="9"/>
        <v>3314.779</v>
      </c>
      <c r="M11" s="108">
        <f t="shared" si="10"/>
        <v>514.76568</v>
      </c>
      <c r="N11" s="108">
        <v>18.33</v>
      </c>
      <c r="O11" s="108">
        <f t="shared" si="11"/>
        <v>476.58</v>
      </c>
      <c r="P11" s="108">
        <f t="shared" si="12"/>
        <v>2323.43332</v>
      </c>
      <c r="Q11" s="108">
        <f t="shared" si="13"/>
        <v>974.935</v>
      </c>
      <c r="R11" s="108">
        <f t="shared" si="14"/>
        <v>214.4857</v>
      </c>
      <c r="S11" s="108">
        <f t="shared" si="15"/>
        <v>1134.01262</v>
      </c>
      <c r="T11" s="104">
        <f t="shared" si="16"/>
        <v>35.2324</v>
      </c>
      <c r="U11" s="106">
        <f t="shared" si="17"/>
        <v>39.0128725</v>
      </c>
      <c r="V11" s="106">
        <f t="shared" si="18"/>
        <v>49.754215</v>
      </c>
      <c r="W11" s="111">
        <f t="shared" ref="W11:Y11" si="40">$H11*T11</f>
        <v>916.0424</v>
      </c>
      <c r="X11" s="111">
        <f t="shared" si="40"/>
        <v>1014.334685</v>
      </c>
      <c r="Y11" s="112">
        <f t="shared" si="40"/>
        <v>1293.60959</v>
      </c>
      <c r="Z11" s="113">
        <f t="shared" ref="Z11:AB11" si="41">$S11-W11</f>
        <v>217.97022</v>
      </c>
      <c r="AA11" s="113">
        <f t="shared" si="41"/>
        <v>119.677935</v>
      </c>
      <c r="AB11" s="113">
        <f t="shared" si="41"/>
        <v>-159.59697</v>
      </c>
      <c r="AC11" s="114">
        <f t="shared" si="21"/>
        <v>0.06575708969</v>
      </c>
      <c r="AD11" s="114">
        <f t="shared" si="22"/>
        <v>0.03068869591</v>
      </c>
      <c r="AE11" s="114">
        <f t="shared" si="23"/>
        <v>-0.04814709216</v>
      </c>
      <c r="AF11" s="115">
        <f t="shared" si="24"/>
        <v>0</v>
      </c>
      <c r="AG11" s="116">
        <v>56.0</v>
      </c>
      <c r="AH11" s="117">
        <f t="shared" si="28"/>
        <v>0.2763509724</v>
      </c>
      <c r="AI11" s="117">
        <f t="shared" ref="AI11:AJ11" si="42">X11/$L11</f>
        <v>0.306003714</v>
      </c>
      <c r="AJ11" s="117">
        <f t="shared" si="42"/>
        <v>0.3902551543</v>
      </c>
      <c r="AK11" s="127"/>
      <c r="AL11" s="127"/>
      <c r="AM11" s="127"/>
      <c r="AN11" s="127"/>
      <c r="AO11" s="127"/>
      <c r="AP11" s="127"/>
      <c r="AQ11" s="127"/>
      <c r="AR11" s="127"/>
      <c r="AS11" s="127"/>
    </row>
    <row r="12">
      <c r="A12" s="184">
        <v>14.29</v>
      </c>
      <c r="B12" s="185" t="s">
        <v>62</v>
      </c>
      <c r="C12" s="186" t="s">
        <v>223</v>
      </c>
      <c r="D12" s="187">
        <f t="shared" si="43"/>
        <v>12.861</v>
      </c>
      <c r="E12" s="188">
        <f t="array" ref="E12">INDEX('Ex-Factory cost'!$D$3:$D$108,MATCH(B12,'Ex-Factory cost'!$B$3:$B$108,0))</f>
        <v>1.5</v>
      </c>
      <c r="F12" s="189">
        <f t="shared" si="5"/>
        <v>10.5</v>
      </c>
      <c r="G12" s="190">
        <v>71.99</v>
      </c>
      <c r="H12" s="186">
        <v>17.0</v>
      </c>
      <c r="I12" s="191">
        <f t="shared" si="6"/>
        <v>1223.83</v>
      </c>
      <c r="J12" s="192">
        <f t="shared" ref="J12:J25" si="47">$J$3</f>
        <v>0.15</v>
      </c>
      <c r="K12" s="193">
        <f t="shared" si="8"/>
        <v>14.45</v>
      </c>
      <c r="L12" s="191">
        <f t="shared" si="9"/>
        <v>1040.2555</v>
      </c>
      <c r="M12" s="191">
        <f t="shared" si="10"/>
        <v>161.54556</v>
      </c>
      <c r="N12" s="191">
        <v>18.25</v>
      </c>
      <c r="O12" s="191">
        <f t="shared" si="11"/>
        <v>310.25</v>
      </c>
      <c r="P12" s="191">
        <f t="shared" si="12"/>
        <v>568.45994</v>
      </c>
      <c r="Q12" s="191">
        <f t="shared" si="13"/>
        <v>305.9575</v>
      </c>
      <c r="R12" s="191">
        <f t="shared" si="14"/>
        <v>67.31065</v>
      </c>
      <c r="S12" s="191">
        <f t="shared" si="15"/>
        <v>195.19179</v>
      </c>
      <c r="T12" s="189">
        <f t="shared" si="16"/>
        <v>23.361</v>
      </c>
      <c r="U12" s="106">
        <f t="shared" si="17"/>
        <v>25.3866075</v>
      </c>
      <c r="V12" s="106">
        <f t="shared" si="18"/>
        <v>31.141905</v>
      </c>
      <c r="W12" s="189">
        <f t="shared" ref="W12:Y12" si="44">$H12*T12</f>
        <v>397.137</v>
      </c>
      <c r="X12" s="189">
        <f t="shared" si="44"/>
        <v>431.5723275</v>
      </c>
      <c r="Y12" s="194">
        <f t="shared" si="44"/>
        <v>529.412385</v>
      </c>
      <c r="Z12" s="195">
        <f t="shared" ref="Z12:AB12" si="45">$S12-W12</f>
        <v>-201.94521</v>
      </c>
      <c r="AA12" s="195">
        <f t="shared" si="45"/>
        <v>-236.3805375</v>
      </c>
      <c r="AB12" s="195">
        <f t="shared" si="45"/>
        <v>-334.220595</v>
      </c>
      <c r="AC12" s="196">
        <f t="shared" si="21"/>
        <v>-0.1941303939</v>
      </c>
      <c r="AD12" s="114">
        <f t="shared" si="22"/>
        <v>-0.1931481803</v>
      </c>
      <c r="AE12" s="196">
        <f t="shared" si="23"/>
        <v>-0.3212870252</v>
      </c>
      <c r="AF12" s="197">
        <f t="shared" si="24"/>
        <v>0</v>
      </c>
      <c r="AG12" s="198">
        <v>56.0</v>
      </c>
      <c r="AH12" s="199">
        <f t="shared" si="28"/>
        <v>0.3817687097</v>
      </c>
      <c r="AI12" s="199">
        <f t="shared" ref="AI12:AJ12" si="46">X12/$L12</f>
        <v>0.4148714691</v>
      </c>
      <c r="AJ12" s="199">
        <f t="shared" si="46"/>
        <v>0.5089253409</v>
      </c>
      <c r="AK12" s="127"/>
      <c r="AL12" s="127"/>
      <c r="AM12" s="127"/>
      <c r="AN12" s="127"/>
      <c r="AO12" s="127"/>
      <c r="AP12" s="127"/>
      <c r="AQ12" s="127"/>
      <c r="AR12" s="127"/>
      <c r="AS12" s="127"/>
    </row>
    <row r="13">
      <c r="A13" s="184">
        <v>13.69</v>
      </c>
      <c r="B13" s="185" t="s">
        <v>61</v>
      </c>
      <c r="C13" s="186" t="s">
        <v>223</v>
      </c>
      <c r="D13" s="187">
        <f t="shared" si="43"/>
        <v>12.321</v>
      </c>
      <c r="E13" s="188">
        <f t="array" ref="E13">INDEX('Ex-Factory cost'!$D$3:$D$108,MATCH(B13,'Ex-Factory cost'!$B$3:$B$108,0))</f>
        <v>0.7</v>
      </c>
      <c r="F13" s="189">
        <f t="shared" si="5"/>
        <v>4.9</v>
      </c>
      <c r="G13" s="190">
        <v>59.99</v>
      </c>
      <c r="H13" s="186">
        <v>13.0</v>
      </c>
      <c r="I13" s="191">
        <f t="shared" si="6"/>
        <v>779.87</v>
      </c>
      <c r="J13" s="192">
        <f t="shared" si="47"/>
        <v>0.15</v>
      </c>
      <c r="K13" s="193">
        <f t="shared" si="8"/>
        <v>11.05</v>
      </c>
      <c r="L13" s="191">
        <f t="shared" si="9"/>
        <v>662.8895</v>
      </c>
      <c r="M13" s="191">
        <f t="shared" si="10"/>
        <v>102.94284</v>
      </c>
      <c r="N13" s="191">
        <v>14.07</v>
      </c>
      <c r="O13" s="191">
        <f t="shared" si="11"/>
        <v>182.91</v>
      </c>
      <c r="P13" s="191">
        <f t="shared" si="12"/>
        <v>377.03666</v>
      </c>
      <c r="Q13" s="191">
        <f t="shared" si="13"/>
        <v>194.9675</v>
      </c>
      <c r="R13" s="191">
        <f t="shared" si="14"/>
        <v>42.89285</v>
      </c>
      <c r="S13" s="191">
        <f t="shared" si="15"/>
        <v>139.17631</v>
      </c>
      <c r="T13" s="189">
        <f t="shared" si="16"/>
        <v>17.221</v>
      </c>
      <c r="U13" s="106">
        <f t="shared" si="17"/>
        <v>19.1615575</v>
      </c>
      <c r="V13" s="106">
        <f t="shared" si="18"/>
        <v>24.675205</v>
      </c>
      <c r="W13" s="189">
        <f t="shared" ref="W13:Y13" si="48">$H13*T13</f>
        <v>223.873</v>
      </c>
      <c r="X13" s="189">
        <f t="shared" si="48"/>
        <v>249.1002475</v>
      </c>
      <c r="Y13" s="194">
        <f t="shared" si="48"/>
        <v>320.777665</v>
      </c>
      <c r="Z13" s="195">
        <f t="shared" ref="Z13:AB13" si="49">$S13-W13</f>
        <v>-84.69669</v>
      </c>
      <c r="AA13" s="195">
        <f t="shared" si="49"/>
        <v>-109.9239375</v>
      </c>
      <c r="AB13" s="195">
        <f t="shared" si="49"/>
        <v>-181.601355</v>
      </c>
      <c r="AC13" s="196">
        <f t="shared" si="21"/>
        <v>-0.1277689419</v>
      </c>
      <c r="AD13" s="114">
        <f t="shared" si="22"/>
        <v>-0.1409516169</v>
      </c>
      <c r="AE13" s="196">
        <f t="shared" si="23"/>
        <v>-0.2739541884</v>
      </c>
      <c r="AF13" s="197">
        <f t="shared" si="24"/>
        <v>0</v>
      </c>
      <c r="AG13" s="198">
        <v>56.0</v>
      </c>
      <c r="AH13" s="199">
        <f t="shared" si="28"/>
        <v>0.3377229538</v>
      </c>
      <c r="AI13" s="199">
        <f t="shared" ref="AI13:AJ13" si="50">X13/$L13</f>
        <v>0.3757794436</v>
      </c>
      <c r="AJ13" s="199">
        <f t="shared" si="50"/>
        <v>0.4839082004</v>
      </c>
      <c r="AK13" s="127"/>
      <c r="AL13" s="127"/>
      <c r="AM13" s="127"/>
      <c r="AN13" s="127"/>
      <c r="AO13" s="127"/>
      <c r="AP13" s="127"/>
      <c r="AQ13" s="127"/>
      <c r="AR13" s="127"/>
      <c r="AS13" s="127"/>
    </row>
    <row r="14">
      <c r="A14" s="184">
        <v>14.88</v>
      </c>
      <c r="B14" s="185" t="s">
        <v>57</v>
      </c>
      <c r="C14" s="186" t="s">
        <v>223</v>
      </c>
      <c r="D14" s="187">
        <f t="shared" si="43"/>
        <v>13.392</v>
      </c>
      <c r="E14" s="188">
        <f t="array" ref="E14">INDEX('Ex-Factory cost'!$D$3:$D$108,MATCH(B14,'Ex-Factory cost'!$B$3:$B$108,0))</f>
        <v>0.9</v>
      </c>
      <c r="F14" s="189">
        <f t="shared" si="5"/>
        <v>6.3</v>
      </c>
      <c r="G14" s="190">
        <v>66.99</v>
      </c>
      <c r="H14" s="186">
        <v>17.0</v>
      </c>
      <c r="I14" s="191">
        <f t="shared" si="6"/>
        <v>1138.83</v>
      </c>
      <c r="J14" s="192">
        <f t="shared" si="47"/>
        <v>0.15</v>
      </c>
      <c r="K14" s="193">
        <f t="shared" si="8"/>
        <v>14.45</v>
      </c>
      <c r="L14" s="191">
        <f t="shared" si="9"/>
        <v>968.0055</v>
      </c>
      <c r="M14" s="191">
        <f t="shared" si="10"/>
        <v>150.32556</v>
      </c>
      <c r="N14" s="191">
        <v>14.83</v>
      </c>
      <c r="O14" s="191">
        <f t="shared" si="11"/>
        <v>252.11</v>
      </c>
      <c r="P14" s="191">
        <f t="shared" si="12"/>
        <v>565.56994</v>
      </c>
      <c r="Q14" s="191">
        <f t="shared" si="13"/>
        <v>284.7075</v>
      </c>
      <c r="R14" s="191">
        <f t="shared" si="14"/>
        <v>62.63565</v>
      </c>
      <c r="S14" s="191">
        <f t="shared" si="15"/>
        <v>218.22679</v>
      </c>
      <c r="T14" s="189">
        <f t="shared" si="16"/>
        <v>19.692</v>
      </c>
      <c r="U14" s="106">
        <f t="shared" si="17"/>
        <v>21.80124</v>
      </c>
      <c r="V14" s="106">
        <f t="shared" si="18"/>
        <v>27.79416</v>
      </c>
      <c r="W14" s="189">
        <f t="shared" ref="W14:Y14" si="51">$H14*T14</f>
        <v>334.764</v>
      </c>
      <c r="X14" s="189">
        <f t="shared" si="51"/>
        <v>370.62108</v>
      </c>
      <c r="Y14" s="194">
        <f t="shared" si="51"/>
        <v>472.50072</v>
      </c>
      <c r="Z14" s="195">
        <f t="shared" ref="Z14:AB14" si="52">$S14-W14</f>
        <v>-116.53721</v>
      </c>
      <c r="AA14" s="195">
        <f t="shared" si="52"/>
        <v>-152.39429</v>
      </c>
      <c r="AB14" s="195">
        <f t="shared" si="52"/>
        <v>-254.27393</v>
      </c>
      <c r="AC14" s="196">
        <f t="shared" si="21"/>
        <v>-0.1203889957</v>
      </c>
      <c r="AD14" s="114">
        <f t="shared" si="22"/>
        <v>-0.1338165398</v>
      </c>
      <c r="AE14" s="196">
        <f t="shared" si="23"/>
        <v>-0.2626781873</v>
      </c>
      <c r="AF14" s="197">
        <f t="shared" si="24"/>
        <v>0</v>
      </c>
      <c r="AG14" s="198">
        <v>56.0</v>
      </c>
      <c r="AH14" s="199">
        <f t="shared" si="28"/>
        <v>0.3458286136</v>
      </c>
      <c r="AI14" s="199">
        <f t="shared" ref="AI14:AJ14" si="53">X14/$L14</f>
        <v>0.3828708411</v>
      </c>
      <c r="AJ14" s="199">
        <f t="shared" si="53"/>
        <v>0.4881178051</v>
      </c>
      <c r="AK14" s="127"/>
      <c r="AL14" s="127"/>
      <c r="AM14" s="127"/>
      <c r="AN14" s="127"/>
      <c r="AO14" s="127"/>
      <c r="AP14" s="127"/>
      <c r="AQ14" s="127"/>
      <c r="AR14" s="127"/>
      <c r="AS14" s="127"/>
    </row>
    <row r="15">
      <c r="A15" s="111">
        <v>51.79</v>
      </c>
      <c r="B15" s="166" t="s">
        <v>51</v>
      </c>
      <c r="C15" s="165" t="s">
        <v>223</v>
      </c>
      <c r="D15" s="111">
        <f t="shared" si="43"/>
        <v>46.611</v>
      </c>
      <c r="E15" s="105">
        <f t="array" ref="E15">INDEX('Ex-Factory cost'!$D$3:$D$108,MATCH(B15,'Ex-Factory cost'!$B$3:$B$108,0))</f>
        <v>2.9</v>
      </c>
      <c r="F15" s="104">
        <f t="shared" si="5"/>
        <v>20.3</v>
      </c>
      <c r="G15" s="118">
        <v>249.99</v>
      </c>
      <c r="H15" s="165">
        <v>10.0</v>
      </c>
      <c r="I15" s="108">
        <f t="shared" si="6"/>
        <v>2499.9</v>
      </c>
      <c r="J15" s="109">
        <f t="shared" si="47"/>
        <v>0.15</v>
      </c>
      <c r="K15" s="110">
        <f t="shared" si="8"/>
        <v>8.5</v>
      </c>
      <c r="L15" s="108">
        <f t="shared" si="9"/>
        <v>2124.915</v>
      </c>
      <c r="M15" s="108">
        <f t="shared" si="10"/>
        <v>329.9868</v>
      </c>
      <c r="N15" s="108">
        <v>21.0</v>
      </c>
      <c r="O15" s="108">
        <f t="shared" si="11"/>
        <v>210</v>
      </c>
      <c r="P15" s="108">
        <f t="shared" si="12"/>
        <v>1584.9282</v>
      </c>
      <c r="Q15" s="108">
        <f t="shared" si="13"/>
        <v>624.975</v>
      </c>
      <c r="R15" s="108">
        <f t="shared" si="14"/>
        <v>137.4945</v>
      </c>
      <c r="S15" s="108">
        <f t="shared" si="15"/>
        <v>822.4587</v>
      </c>
      <c r="T15" s="104">
        <f t="shared" si="16"/>
        <v>66.911</v>
      </c>
      <c r="U15" s="106">
        <f t="shared" si="17"/>
        <v>74.2522325</v>
      </c>
      <c r="V15" s="106">
        <f t="shared" si="18"/>
        <v>95.110655</v>
      </c>
      <c r="W15" s="111">
        <f t="shared" ref="W15:Y15" si="54">$H15*T15</f>
        <v>669.11</v>
      </c>
      <c r="X15" s="111">
        <f t="shared" si="54"/>
        <v>742.522325</v>
      </c>
      <c r="Y15" s="112">
        <f t="shared" si="54"/>
        <v>951.10655</v>
      </c>
      <c r="Z15" s="113">
        <f t="shared" ref="Z15:AB15" si="55">$S15-W15</f>
        <v>153.3487</v>
      </c>
      <c r="AA15" s="113">
        <f t="shared" si="55"/>
        <v>79.936375</v>
      </c>
      <c r="AB15" s="113">
        <f t="shared" si="55"/>
        <v>-128.64785</v>
      </c>
      <c r="AC15" s="114">
        <f t="shared" si="21"/>
        <v>0.0721669808</v>
      </c>
      <c r="AD15" s="114">
        <f t="shared" si="22"/>
        <v>0.03197582903</v>
      </c>
      <c r="AE15" s="114">
        <f t="shared" si="23"/>
        <v>-0.06054258641</v>
      </c>
      <c r="AF15" s="115">
        <f t="shared" si="24"/>
        <v>0</v>
      </c>
      <c r="AG15" s="116">
        <v>56.0</v>
      </c>
      <c r="AH15" s="117">
        <f t="shared" si="28"/>
        <v>0.3148878896</v>
      </c>
      <c r="AI15" s="117">
        <f t="shared" ref="AI15:AJ15" si="56">X15/$L15</f>
        <v>0.349436248</v>
      </c>
      <c r="AJ15" s="117">
        <f t="shared" si="56"/>
        <v>0.4475974568</v>
      </c>
      <c r="AK15" s="127"/>
      <c r="AL15" s="127"/>
      <c r="AM15" s="127"/>
      <c r="AN15" s="127"/>
      <c r="AO15" s="127"/>
      <c r="AP15" s="127"/>
      <c r="AQ15" s="127"/>
      <c r="AR15" s="127"/>
      <c r="AS15" s="127"/>
    </row>
    <row r="16">
      <c r="A16" s="111">
        <v>29.76</v>
      </c>
      <c r="B16" s="183" t="s">
        <v>46</v>
      </c>
      <c r="C16" s="103" t="s">
        <v>226</v>
      </c>
      <c r="D16" s="111">
        <f t="shared" si="43"/>
        <v>26.784</v>
      </c>
      <c r="E16" s="105">
        <v>2.3</v>
      </c>
      <c r="F16" s="104">
        <f t="shared" si="5"/>
        <v>16.1</v>
      </c>
      <c r="G16" s="118">
        <v>199.99</v>
      </c>
      <c r="H16" s="165">
        <v>16.0</v>
      </c>
      <c r="I16" s="108">
        <f t="shared" si="6"/>
        <v>3199.84</v>
      </c>
      <c r="J16" s="109">
        <f t="shared" si="47"/>
        <v>0.15</v>
      </c>
      <c r="K16" s="110">
        <f t="shared" si="8"/>
        <v>13.6</v>
      </c>
      <c r="L16" s="108">
        <f t="shared" si="9"/>
        <v>2719.864</v>
      </c>
      <c r="M16" s="108">
        <f t="shared" si="10"/>
        <v>422.37888</v>
      </c>
      <c r="N16" s="108">
        <f>11%*G16</f>
        <v>21.9989</v>
      </c>
      <c r="O16" s="108">
        <f t="shared" si="11"/>
        <v>351.9824</v>
      </c>
      <c r="P16" s="108">
        <f t="shared" si="12"/>
        <v>1945.50272</v>
      </c>
      <c r="Q16" s="108">
        <f t="shared" si="13"/>
        <v>799.96</v>
      </c>
      <c r="R16" s="108">
        <f t="shared" si="14"/>
        <v>175.9912</v>
      </c>
      <c r="S16" s="108">
        <f t="shared" si="15"/>
        <v>969.55152</v>
      </c>
      <c r="T16" s="104">
        <f t="shared" si="16"/>
        <v>42.884</v>
      </c>
      <c r="U16" s="106">
        <f t="shared" si="17"/>
        <v>47.10248</v>
      </c>
      <c r="V16" s="106">
        <f t="shared" si="18"/>
        <v>59.08832</v>
      </c>
      <c r="W16" s="111">
        <f t="shared" ref="W16:Y16" si="57">$H16*T16</f>
        <v>686.144</v>
      </c>
      <c r="X16" s="111">
        <f t="shared" si="57"/>
        <v>753.63968</v>
      </c>
      <c r="Y16" s="112">
        <f t="shared" si="57"/>
        <v>945.41312</v>
      </c>
      <c r="Z16" s="113">
        <f t="shared" ref="Z16:AB16" si="58">$S16-W16</f>
        <v>283.40752</v>
      </c>
      <c r="AA16" s="113">
        <f t="shared" si="58"/>
        <v>215.91184</v>
      </c>
      <c r="AB16" s="113">
        <f t="shared" si="58"/>
        <v>24.1384</v>
      </c>
      <c r="AC16" s="114">
        <f t="shared" si="21"/>
        <v>0.1041991511</v>
      </c>
      <c r="AD16" s="114">
        <f t="shared" si="22"/>
        <v>0.06747582379</v>
      </c>
      <c r="AE16" s="114">
        <f t="shared" si="23"/>
        <v>0.008874855507</v>
      </c>
      <c r="AF16" s="115">
        <f t="shared" si="24"/>
        <v>0</v>
      </c>
      <c r="AG16" s="116">
        <v>56.0</v>
      </c>
      <c r="AH16" s="117">
        <f t="shared" si="28"/>
        <v>0.2522714371</v>
      </c>
      <c r="AI16" s="117">
        <f t="shared" ref="AI16:AJ16" si="59">X16/$L16</f>
        <v>0.2770872661</v>
      </c>
      <c r="AJ16" s="117">
        <f t="shared" si="59"/>
        <v>0.3475957327</v>
      </c>
      <c r="AK16" s="127"/>
      <c r="AL16" s="127"/>
      <c r="AM16" s="127"/>
      <c r="AN16" s="127"/>
      <c r="AO16" s="127"/>
      <c r="AP16" s="127"/>
      <c r="AQ16" s="127"/>
      <c r="AR16" s="127"/>
      <c r="AS16" s="127"/>
    </row>
    <row r="17">
      <c r="A17" s="184">
        <v>13.69</v>
      </c>
      <c r="B17" s="185" t="s">
        <v>60</v>
      </c>
      <c r="C17" s="165" t="s">
        <v>223</v>
      </c>
      <c r="D17" s="184">
        <f t="shared" si="43"/>
        <v>12.321</v>
      </c>
      <c r="E17" s="105">
        <f t="array" ref="E17">INDEX('Ex-Factory cost'!$D$3:$D$108,MATCH(B17,'Ex-Factory cost'!$B$3:$B$108,0))</f>
        <v>0.7</v>
      </c>
      <c r="F17" s="104">
        <f t="shared" si="5"/>
        <v>4.9</v>
      </c>
      <c r="G17" s="118">
        <v>59.99</v>
      </c>
      <c r="H17" s="165">
        <v>10.0</v>
      </c>
      <c r="I17" s="108">
        <f t="shared" si="6"/>
        <v>599.9</v>
      </c>
      <c r="J17" s="109">
        <f t="shared" si="47"/>
        <v>0.15</v>
      </c>
      <c r="K17" s="110">
        <f t="shared" si="8"/>
        <v>8.5</v>
      </c>
      <c r="L17" s="108">
        <f t="shared" si="9"/>
        <v>509.915</v>
      </c>
      <c r="M17" s="108">
        <f t="shared" si="10"/>
        <v>79.1868</v>
      </c>
      <c r="N17" s="108">
        <v>14.07</v>
      </c>
      <c r="O17" s="108">
        <f t="shared" si="11"/>
        <v>140.7</v>
      </c>
      <c r="P17" s="108">
        <f t="shared" si="12"/>
        <v>290.0282</v>
      </c>
      <c r="Q17" s="108">
        <f t="shared" si="13"/>
        <v>149.975</v>
      </c>
      <c r="R17" s="108">
        <f t="shared" si="14"/>
        <v>32.9945</v>
      </c>
      <c r="S17" s="108">
        <f t="shared" si="15"/>
        <v>107.0587</v>
      </c>
      <c r="T17" s="104">
        <f t="shared" si="16"/>
        <v>17.221</v>
      </c>
      <c r="U17" s="106">
        <f t="shared" si="17"/>
        <v>19.1615575</v>
      </c>
      <c r="V17" s="106">
        <f t="shared" si="18"/>
        <v>24.675205</v>
      </c>
      <c r="W17" s="111">
        <f t="shared" ref="W17:Y17" si="60">$H17*T17</f>
        <v>172.21</v>
      </c>
      <c r="X17" s="111">
        <f t="shared" si="60"/>
        <v>191.615575</v>
      </c>
      <c r="Y17" s="112">
        <f t="shared" si="60"/>
        <v>246.75205</v>
      </c>
      <c r="Z17" s="113">
        <f t="shared" ref="Z17:AB17" si="61">$S17-W17</f>
        <v>-65.1513</v>
      </c>
      <c r="AA17" s="113">
        <f t="shared" si="61"/>
        <v>-84.556875</v>
      </c>
      <c r="AB17" s="113">
        <f t="shared" si="61"/>
        <v>-139.69335</v>
      </c>
      <c r="AC17" s="114">
        <f t="shared" si="21"/>
        <v>-0.1277689419</v>
      </c>
      <c r="AD17" s="114">
        <f t="shared" si="22"/>
        <v>-0.1409516169</v>
      </c>
      <c r="AE17" s="114">
        <f t="shared" si="23"/>
        <v>-0.2739541884</v>
      </c>
      <c r="AF17" s="115">
        <f t="shared" si="24"/>
        <v>0</v>
      </c>
      <c r="AG17" s="116">
        <v>56.0</v>
      </c>
      <c r="AH17" s="117">
        <f t="shared" si="28"/>
        <v>0.3377229538</v>
      </c>
      <c r="AI17" s="117">
        <f t="shared" ref="AI17:AJ17" si="62">X17/$L17</f>
        <v>0.3757794436</v>
      </c>
      <c r="AJ17" s="117">
        <f t="shared" si="62"/>
        <v>0.4839082004</v>
      </c>
      <c r="AK17" s="127"/>
      <c r="AL17" s="127"/>
      <c r="AM17" s="127"/>
      <c r="AN17" s="127"/>
      <c r="AO17" s="127"/>
      <c r="AP17" s="127"/>
      <c r="AQ17" s="127"/>
      <c r="AR17" s="127"/>
      <c r="AS17" s="127"/>
    </row>
    <row r="18">
      <c r="A18" s="111">
        <v>82.14</v>
      </c>
      <c r="B18" s="185" t="s">
        <v>262</v>
      </c>
      <c r="C18" s="165" t="s">
        <v>223</v>
      </c>
      <c r="D18" s="111">
        <f t="shared" si="43"/>
        <v>73.926</v>
      </c>
      <c r="E18" s="105">
        <f t="array" ref="E18">INDEX('Ex-Factory cost'!$D$3:$D$108,MATCH(B18,'Ex-Factory cost'!$B$3:$B$108,0))</f>
        <v>4.9</v>
      </c>
      <c r="F18" s="104">
        <f t="shared" si="5"/>
        <v>34.3</v>
      </c>
      <c r="G18" s="118">
        <v>369.99</v>
      </c>
      <c r="H18" s="165">
        <v>6.0</v>
      </c>
      <c r="I18" s="108">
        <f t="shared" si="6"/>
        <v>2219.94</v>
      </c>
      <c r="J18" s="109">
        <f t="shared" si="47"/>
        <v>0.15</v>
      </c>
      <c r="K18" s="110">
        <f t="shared" si="8"/>
        <v>5.1</v>
      </c>
      <c r="L18" s="108">
        <f t="shared" si="9"/>
        <v>1886.949</v>
      </c>
      <c r="M18" s="108">
        <f t="shared" si="10"/>
        <v>293.03208</v>
      </c>
      <c r="N18" s="108">
        <f t="shared" ref="N18:N19" si="66">12%*G18</f>
        <v>44.3988</v>
      </c>
      <c r="O18" s="108">
        <f t="shared" si="11"/>
        <v>266.3928</v>
      </c>
      <c r="P18" s="108">
        <f t="shared" si="12"/>
        <v>1327.52412</v>
      </c>
      <c r="Q18" s="108">
        <f t="shared" si="13"/>
        <v>554.985</v>
      </c>
      <c r="R18" s="108">
        <f t="shared" si="14"/>
        <v>122.0967</v>
      </c>
      <c r="S18" s="108">
        <f t="shared" si="15"/>
        <v>650.44242</v>
      </c>
      <c r="T18" s="104">
        <f t="shared" si="16"/>
        <v>108.226</v>
      </c>
      <c r="U18" s="106">
        <f t="shared" si="17"/>
        <v>119.869345</v>
      </c>
      <c r="V18" s="106">
        <f t="shared" si="18"/>
        <v>152.95123</v>
      </c>
      <c r="W18" s="111">
        <f t="shared" ref="W18:Y18" si="63">$H18*T18</f>
        <v>649.356</v>
      </c>
      <c r="X18" s="111">
        <f t="shared" si="63"/>
        <v>719.21607</v>
      </c>
      <c r="Y18" s="112">
        <f t="shared" si="63"/>
        <v>917.70738</v>
      </c>
      <c r="Z18" s="113">
        <f t="shared" ref="Z18:AB18" si="64">$S18-W18</f>
        <v>1.08642</v>
      </c>
      <c r="AA18" s="113">
        <f t="shared" si="64"/>
        <v>-68.77365</v>
      </c>
      <c r="AB18" s="113">
        <f t="shared" si="64"/>
        <v>-267.26496</v>
      </c>
      <c r="AC18" s="114">
        <f t="shared" si="21"/>
        <v>0.0005757548296</v>
      </c>
      <c r="AD18" s="114">
        <f t="shared" si="22"/>
        <v>-0.03097995892</v>
      </c>
      <c r="AE18" s="114">
        <f t="shared" si="23"/>
        <v>-0.141638677</v>
      </c>
      <c r="AF18" s="115">
        <f t="shared" si="24"/>
        <v>0</v>
      </c>
      <c r="AG18" s="116">
        <v>56.0</v>
      </c>
      <c r="AH18" s="117">
        <f t="shared" si="28"/>
        <v>0.3441301275</v>
      </c>
      <c r="AI18" s="117">
        <f t="shared" ref="AI18:AJ18" si="65">X18/$L18</f>
        <v>0.3811528928</v>
      </c>
      <c r="AJ18" s="117">
        <f t="shared" si="65"/>
        <v>0.4863445594</v>
      </c>
      <c r="AK18" s="127"/>
      <c r="AL18" s="127"/>
      <c r="AM18" s="127"/>
      <c r="AN18" s="127"/>
      <c r="AO18" s="127"/>
      <c r="AP18" s="127"/>
      <c r="AQ18" s="127"/>
      <c r="AR18" s="127"/>
      <c r="AS18" s="127"/>
    </row>
    <row r="19">
      <c r="A19" s="111">
        <v>73.81</v>
      </c>
      <c r="B19" s="185" t="s">
        <v>263</v>
      </c>
      <c r="C19" s="165" t="s">
        <v>223</v>
      </c>
      <c r="D19" s="111">
        <f t="shared" si="43"/>
        <v>66.429</v>
      </c>
      <c r="E19" s="105">
        <f t="array" ref="E19">INDEX('Ex-Factory cost'!$D$3:$D$108,MATCH(B19,'Ex-Factory cost'!$B$3:$B$108,0))</f>
        <v>4.5</v>
      </c>
      <c r="F19" s="104">
        <f t="shared" si="5"/>
        <v>31.5</v>
      </c>
      <c r="G19" s="118">
        <v>369.0</v>
      </c>
      <c r="H19" s="165">
        <v>7.0</v>
      </c>
      <c r="I19" s="108">
        <f t="shared" si="6"/>
        <v>2583</v>
      </c>
      <c r="J19" s="109">
        <f t="shared" si="47"/>
        <v>0.15</v>
      </c>
      <c r="K19" s="110">
        <f t="shared" si="8"/>
        <v>5.95</v>
      </c>
      <c r="L19" s="108">
        <f t="shared" si="9"/>
        <v>2195.55</v>
      </c>
      <c r="M19" s="108">
        <f t="shared" si="10"/>
        <v>340.956</v>
      </c>
      <c r="N19" s="108">
        <f t="shared" si="66"/>
        <v>44.28</v>
      </c>
      <c r="O19" s="108">
        <f t="shared" si="11"/>
        <v>309.96</v>
      </c>
      <c r="P19" s="108">
        <f t="shared" si="12"/>
        <v>1544.634</v>
      </c>
      <c r="Q19" s="108">
        <f t="shared" si="13"/>
        <v>645.75</v>
      </c>
      <c r="R19" s="108">
        <f t="shared" si="14"/>
        <v>142.065</v>
      </c>
      <c r="S19" s="108">
        <f t="shared" si="15"/>
        <v>756.819</v>
      </c>
      <c r="T19" s="104">
        <f t="shared" si="16"/>
        <v>97.929</v>
      </c>
      <c r="U19" s="106">
        <f t="shared" si="17"/>
        <v>108.3915675</v>
      </c>
      <c r="V19" s="106">
        <f t="shared" si="18"/>
        <v>138.118545</v>
      </c>
      <c r="W19" s="111">
        <f t="shared" ref="W19:Y19" si="67">$H19*T19</f>
        <v>685.503</v>
      </c>
      <c r="X19" s="111">
        <f t="shared" si="67"/>
        <v>758.7409725</v>
      </c>
      <c r="Y19" s="112">
        <f t="shared" si="67"/>
        <v>966.829815</v>
      </c>
      <c r="Z19" s="113">
        <f t="shared" ref="Z19:AB19" si="68">$S19-W19</f>
        <v>71.316</v>
      </c>
      <c r="AA19" s="113">
        <f t="shared" si="68"/>
        <v>-1.9219725</v>
      </c>
      <c r="AB19" s="113">
        <f t="shared" si="68"/>
        <v>-210.010815</v>
      </c>
      <c r="AC19" s="114">
        <f t="shared" si="21"/>
        <v>0.032482066</v>
      </c>
      <c r="AD19" s="114">
        <f t="shared" si="22"/>
        <v>-0.0007440853659</v>
      </c>
      <c r="AE19" s="114">
        <f t="shared" si="23"/>
        <v>-0.09565294118</v>
      </c>
      <c r="AF19" s="115">
        <f t="shared" si="24"/>
        <v>0</v>
      </c>
      <c r="AG19" s="116">
        <v>56.0</v>
      </c>
      <c r="AH19" s="117">
        <f t="shared" si="28"/>
        <v>0.3122238164</v>
      </c>
      <c r="AI19" s="117">
        <f t="shared" ref="AI19:AJ19" si="69">X19/$L19</f>
        <v>0.3455812769</v>
      </c>
      <c r="AJ19" s="117">
        <f t="shared" si="69"/>
        <v>0.4403588235</v>
      </c>
      <c r="AK19" s="127"/>
      <c r="AL19" s="127"/>
      <c r="AM19" s="127"/>
      <c r="AN19" s="127"/>
      <c r="AO19" s="127"/>
      <c r="AP19" s="127"/>
      <c r="AQ19" s="127"/>
      <c r="AR19" s="127"/>
      <c r="AS19" s="127"/>
    </row>
    <row r="20">
      <c r="A20" s="111">
        <v>88.1</v>
      </c>
      <c r="B20" s="185" t="s">
        <v>264</v>
      </c>
      <c r="C20" s="103" t="s">
        <v>226</v>
      </c>
      <c r="D20" s="111">
        <f t="shared" si="43"/>
        <v>79.29</v>
      </c>
      <c r="E20" s="105">
        <f t="array" ref="E20">INDEX('Ex-Factory cost'!$D$3:$D$108,MATCH(B20,'Ex-Factory cost'!$B$3:$B$108,0))</f>
        <v>12.4</v>
      </c>
      <c r="F20" s="104">
        <f t="shared" si="5"/>
        <v>86.8</v>
      </c>
      <c r="G20" s="118">
        <v>571.99</v>
      </c>
      <c r="H20" s="165">
        <v>8.0</v>
      </c>
      <c r="I20" s="108">
        <f t="shared" si="6"/>
        <v>4575.92</v>
      </c>
      <c r="J20" s="109">
        <f t="shared" si="47"/>
        <v>0.15</v>
      </c>
      <c r="K20" s="110">
        <f t="shared" si="8"/>
        <v>6.8</v>
      </c>
      <c r="L20" s="108">
        <f t="shared" si="9"/>
        <v>3889.532</v>
      </c>
      <c r="M20" s="108">
        <f t="shared" si="10"/>
        <v>604.02144</v>
      </c>
      <c r="N20" s="108">
        <v>203.0</v>
      </c>
      <c r="O20" s="108">
        <f t="shared" si="11"/>
        <v>1624</v>
      </c>
      <c r="P20" s="108">
        <f t="shared" si="12"/>
        <v>1661.51056</v>
      </c>
      <c r="Q20" s="108">
        <f t="shared" si="13"/>
        <v>1143.98</v>
      </c>
      <c r="R20" s="108">
        <f t="shared" si="14"/>
        <v>251.6756</v>
      </c>
      <c r="S20" s="108">
        <f t="shared" si="15"/>
        <v>265.85496</v>
      </c>
      <c r="T20" s="104">
        <f t="shared" si="16"/>
        <v>166.09</v>
      </c>
      <c r="U20" s="106">
        <f t="shared" si="17"/>
        <v>178.578175</v>
      </c>
      <c r="V20" s="106">
        <f t="shared" si="18"/>
        <v>214.06045</v>
      </c>
      <c r="W20" s="111">
        <f t="shared" ref="W20:Y20" si="70">$H20*T20</f>
        <v>1328.72</v>
      </c>
      <c r="X20" s="111">
        <f t="shared" si="70"/>
        <v>1428.6254</v>
      </c>
      <c r="Y20" s="112">
        <f t="shared" si="70"/>
        <v>1712.4836</v>
      </c>
      <c r="Z20" s="113">
        <f t="shared" ref="Z20:AB20" si="71">$S20-W20</f>
        <v>-1062.86504</v>
      </c>
      <c r="AA20" s="113">
        <f t="shared" si="71"/>
        <v>-1162.77044</v>
      </c>
      <c r="AB20" s="113">
        <f t="shared" si="71"/>
        <v>-1446.62864</v>
      </c>
      <c r="AC20" s="114">
        <f t="shared" si="21"/>
        <v>-0.2732629633</v>
      </c>
      <c r="AD20" s="114">
        <f t="shared" si="22"/>
        <v>-0.2541063742</v>
      </c>
      <c r="AE20" s="114">
        <f t="shared" si="23"/>
        <v>-0.3719287153</v>
      </c>
      <c r="AF20" s="115">
        <f t="shared" si="24"/>
        <v>0</v>
      </c>
      <c r="AG20" s="116">
        <v>56.0</v>
      </c>
      <c r="AH20" s="117">
        <f t="shared" si="28"/>
        <v>0.3416143639</v>
      </c>
      <c r="AI20" s="117">
        <f t="shared" ref="AI20:AJ20" si="72">X20/$L20</f>
        <v>0.3673000762</v>
      </c>
      <c r="AJ20" s="117">
        <f t="shared" si="72"/>
        <v>0.440280116</v>
      </c>
      <c r="AK20" s="127"/>
      <c r="AL20" s="127"/>
      <c r="AM20" s="127"/>
      <c r="AN20" s="127"/>
      <c r="AO20" s="127"/>
      <c r="AP20" s="127"/>
      <c r="AQ20" s="127"/>
      <c r="AR20" s="127"/>
      <c r="AS20" s="127"/>
    </row>
    <row r="21">
      <c r="A21" s="111">
        <v>46.27</v>
      </c>
      <c r="B21" s="200" t="s">
        <v>64</v>
      </c>
      <c r="C21" s="103" t="s">
        <v>226</v>
      </c>
      <c r="D21" s="111">
        <f t="shared" si="43"/>
        <v>41.643</v>
      </c>
      <c r="E21" s="105">
        <f t="array" ref="E21">INDEX('Ex-Factory cost'!$D$3:$D$108,MATCH(B21,'Ex-Factory cost'!$B$3:$B$108,0))</f>
        <v>4.8</v>
      </c>
      <c r="F21" s="104">
        <f t="shared" si="5"/>
        <v>33.6</v>
      </c>
      <c r="G21" s="118">
        <v>249.0</v>
      </c>
      <c r="H21" s="165">
        <v>10.0</v>
      </c>
      <c r="I21" s="108">
        <f t="shared" si="6"/>
        <v>2490</v>
      </c>
      <c r="J21" s="109">
        <f t="shared" si="47"/>
        <v>0.15</v>
      </c>
      <c r="K21" s="110">
        <f t="shared" si="8"/>
        <v>8.5</v>
      </c>
      <c r="L21" s="108">
        <f t="shared" si="9"/>
        <v>2116.5</v>
      </c>
      <c r="M21" s="108">
        <f t="shared" si="10"/>
        <v>328.68</v>
      </c>
      <c r="N21" s="108">
        <f t="shared" ref="N21:N23" si="76">17%*G21</f>
        <v>42.33</v>
      </c>
      <c r="O21" s="108">
        <f t="shared" si="11"/>
        <v>423.3</v>
      </c>
      <c r="P21" s="108">
        <f t="shared" si="12"/>
        <v>1364.52</v>
      </c>
      <c r="Q21" s="108">
        <f t="shared" si="13"/>
        <v>622.5</v>
      </c>
      <c r="R21" s="108">
        <f t="shared" si="14"/>
        <v>136.95</v>
      </c>
      <c r="S21" s="108">
        <f t="shared" si="15"/>
        <v>605.07</v>
      </c>
      <c r="T21" s="104">
        <f t="shared" si="16"/>
        <v>75.243</v>
      </c>
      <c r="U21" s="106">
        <f t="shared" si="17"/>
        <v>81.8017725</v>
      </c>
      <c r="V21" s="106">
        <f t="shared" si="18"/>
        <v>100.437015</v>
      </c>
      <c r="W21" s="111">
        <f t="shared" ref="W21:Y21" si="73">$H21*T21</f>
        <v>752.43</v>
      </c>
      <c r="X21" s="111">
        <f t="shared" si="73"/>
        <v>818.017725</v>
      </c>
      <c r="Y21" s="112">
        <f t="shared" si="73"/>
        <v>1004.37015</v>
      </c>
      <c r="Z21" s="113">
        <f t="shared" ref="Z21:AB21" si="74">$S21-W21</f>
        <v>-147.36</v>
      </c>
      <c r="AA21" s="113">
        <f t="shared" si="74"/>
        <v>-212.947725</v>
      </c>
      <c r="AB21" s="113">
        <f t="shared" si="74"/>
        <v>-399.30015</v>
      </c>
      <c r="AC21" s="114">
        <f t="shared" si="21"/>
        <v>-0.06962437987</v>
      </c>
      <c r="AD21" s="114">
        <f t="shared" si="22"/>
        <v>-0.0855211747</v>
      </c>
      <c r="AE21" s="114">
        <f t="shared" si="23"/>
        <v>-0.1886605953</v>
      </c>
      <c r="AF21" s="115">
        <f t="shared" si="24"/>
        <v>0</v>
      </c>
      <c r="AG21" s="116">
        <v>56.0</v>
      </c>
      <c r="AH21" s="117">
        <f t="shared" si="28"/>
        <v>0.3555067328</v>
      </c>
      <c r="AI21" s="117">
        <f t="shared" ref="AI21:AJ21" si="75">X21/$L21</f>
        <v>0.3864954996</v>
      </c>
      <c r="AJ21" s="117">
        <f t="shared" si="75"/>
        <v>0.4745429483</v>
      </c>
      <c r="AK21" s="127"/>
      <c r="AL21" s="127"/>
      <c r="AM21" s="127"/>
      <c r="AN21" s="127"/>
      <c r="AO21" s="127"/>
      <c r="AP21" s="127"/>
      <c r="AQ21" s="127"/>
      <c r="AR21" s="127"/>
      <c r="AS21" s="127"/>
    </row>
    <row r="22">
      <c r="A22" s="111">
        <v>57.14</v>
      </c>
      <c r="B22" s="200" t="s">
        <v>265</v>
      </c>
      <c r="C22" s="103" t="s">
        <v>226</v>
      </c>
      <c r="D22" s="111">
        <f t="shared" si="43"/>
        <v>51.426</v>
      </c>
      <c r="E22" s="105">
        <f t="array" ref="E22">INDEX('Ex-Factory cost'!$D$3:$D$108,MATCH(B22,'Ex-Factory cost'!$B$3:$B$108,0))</f>
        <v>5.7</v>
      </c>
      <c r="F22" s="104">
        <f t="shared" si="5"/>
        <v>39.9</v>
      </c>
      <c r="G22" s="118">
        <v>248.0</v>
      </c>
      <c r="H22" s="165">
        <v>7.0</v>
      </c>
      <c r="I22" s="108">
        <f t="shared" si="6"/>
        <v>1736</v>
      </c>
      <c r="J22" s="109">
        <f t="shared" si="47"/>
        <v>0.15</v>
      </c>
      <c r="K22" s="110">
        <f t="shared" si="8"/>
        <v>5.95</v>
      </c>
      <c r="L22" s="108">
        <f t="shared" si="9"/>
        <v>1475.6</v>
      </c>
      <c r="M22" s="108">
        <f t="shared" si="10"/>
        <v>229.152</v>
      </c>
      <c r="N22" s="108">
        <f t="shared" si="76"/>
        <v>42.16</v>
      </c>
      <c r="O22" s="108">
        <f t="shared" si="11"/>
        <v>295.12</v>
      </c>
      <c r="P22" s="108">
        <f t="shared" si="12"/>
        <v>951.328</v>
      </c>
      <c r="Q22" s="108">
        <f t="shared" si="13"/>
        <v>434</v>
      </c>
      <c r="R22" s="108">
        <f t="shared" si="14"/>
        <v>95.48</v>
      </c>
      <c r="S22" s="108">
        <f t="shared" si="15"/>
        <v>421.848</v>
      </c>
      <c r="T22" s="104">
        <f t="shared" si="16"/>
        <v>91.326</v>
      </c>
      <c r="U22" s="106">
        <f t="shared" si="17"/>
        <v>99.425595</v>
      </c>
      <c r="V22" s="106">
        <f t="shared" si="18"/>
        <v>122.43873</v>
      </c>
      <c r="W22" s="111">
        <f t="shared" ref="W22:Y22" si="77">$H22*T22</f>
        <v>639.282</v>
      </c>
      <c r="X22" s="111">
        <f t="shared" si="77"/>
        <v>695.979165</v>
      </c>
      <c r="Y22" s="112">
        <f t="shared" si="77"/>
        <v>857.07111</v>
      </c>
      <c r="Z22" s="113">
        <f t="shared" ref="Z22:AB22" si="78">$S22-W22</f>
        <v>-217.434</v>
      </c>
      <c r="AA22" s="113">
        <f t="shared" si="78"/>
        <v>-274.131165</v>
      </c>
      <c r="AB22" s="113">
        <f t="shared" si="78"/>
        <v>-435.22311</v>
      </c>
      <c r="AC22" s="114">
        <f t="shared" si="21"/>
        <v>-0.1473529412</v>
      </c>
      <c r="AD22" s="114">
        <f t="shared" si="22"/>
        <v>-0.1579096573</v>
      </c>
      <c r="AE22" s="114">
        <f t="shared" si="23"/>
        <v>-0.294946537</v>
      </c>
      <c r="AF22" s="115">
        <f t="shared" si="24"/>
        <v>0</v>
      </c>
      <c r="AG22" s="116">
        <v>56.0</v>
      </c>
      <c r="AH22" s="117">
        <f t="shared" si="28"/>
        <v>0.4332352941</v>
      </c>
      <c r="AI22" s="117">
        <f t="shared" ref="AI22:AJ22" si="79">X22/$L22</f>
        <v>0.4716584203</v>
      </c>
      <c r="AJ22" s="117">
        <f t="shared" si="79"/>
        <v>0.5808288899</v>
      </c>
      <c r="AK22" s="127"/>
      <c r="AL22" s="127"/>
      <c r="AM22" s="127"/>
      <c r="AN22" s="127"/>
      <c r="AO22" s="127"/>
      <c r="AP22" s="127"/>
      <c r="AQ22" s="127"/>
      <c r="AR22" s="127"/>
      <c r="AS22" s="127"/>
    </row>
    <row r="23">
      <c r="A23" s="111">
        <v>47.62</v>
      </c>
      <c r="B23" s="200" t="s">
        <v>66</v>
      </c>
      <c r="C23" s="103" t="s">
        <v>226</v>
      </c>
      <c r="D23" s="111">
        <f t="shared" si="43"/>
        <v>42.858</v>
      </c>
      <c r="E23" s="105">
        <f t="array" ref="E23">INDEX('Ex-Factory cost'!$D$3:$D$108,MATCH(B23,'Ex-Factory cost'!$B$3:$B$108,0))</f>
        <v>6.4</v>
      </c>
      <c r="F23" s="104">
        <f t="shared" si="5"/>
        <v>44.8</v>
      </c>
      <c r="G23" s="118">
        <v>189.0</v>
      </c>
      <c r="H23" s="165">
        <v>14.0</v>
      </c>
      <c r="I23" s="108">
        <f t="shared" si="6"/>
        <v>2646</v>
      </c>
      <c r="J23" s="109">
        <f t="shared" si="47"/>
        <v>0.15</v>
      </c>
      <c r="K23" s="110">
        <f t="shared" si="8"/>
        <v>11.9</v>
      </c>
      <c r="L23" s="108">
        <f t="shared" si="9"/>
        <v>2249.1</v>
      </c>
      <c r="M23" s="108">
        <f t="shared" si="10"/>
        <v>349.272</v>
      </c>
      <c r="N23" s="108">
        <f t="shared" si="76"/>
        <v>32.13</v>
      </c>
      <c r="O23" s="108">
        <f t="shared" si="11"/>
        <v>449.82</v>
      </c>
      <c r="P23" s="108">
        <f t="shared" si="12"/>
        <v>1450.008</v>
      </c>
      <c r="Q23" s="108">
        <f t="shared" si="13"/>
        <v>661.5</v>
      </c>
      <c r="R23" s="108">
        <f t="shared" si="14"/>
        <v>145.53</v>
      </c>
      <c r="S23" s="108">
        <f t="shared" si="15"/>
        <v>642.978</v>
      </c>
      <c r="T23" s="104">
        <f t="shared" si="16"/>
        <v>87.658</v>
      </c>
      <c r="U23" s="106">
        <f t="shared" si="17"/>
        <v>94.408135</v>
      </c>
      <c r="V23" s="106">
        <f t="shared" si="18"/>
        <v>113.58709</v>
      </c>
      <c r="W23" s="111">
        <f t="shared" ref="W23:Y23" si="80">$H23*T23</f>
        <v>1227.212</v>
      </c>
      <c r="X23" s="111">
        <f t="shared" si="80"/>
        <v>1321.71389</v>
      </c>
      <c r="Y23" s="112">
        <f t="shared" si="80"/>
        <v>1590.21926</v>
      </c>
      <c r="Z23" s="113">
        <f t="shared" ref="Z23:AB23" si="81">$S23-W23</f>
        <v>-584.234</v>
      </c>
      <c r="AA23" s="113">
        <f t="shared" si="81"/>
        <v>-678.73589</v>
      </c>
      <c r="AB23" s="113">
        <f t="shared" si="81"/>
        <v>-947.24126</v>
      </c>
      <c r="AC23" s="114">
        <f t="shared" si="21"/>
        <v>-0.2597634609</v>
      </c>
      <c r="AD23" s="114">
        <f t="shared" si="22"/>
        <v>-0.2565139418</v>
      </c>
      <c r="AE23" s="114">
        <f t="shared" si="23"/>
        <v>-0.4211645814</v>
      </c>
      <c r="AF23" s="115">
        <f t="shared" si="24"/>
        <v>0</v>
      </c>
      <c r="AG23" s="116">
        <v>56.0</v>
      </c>
      <c r="AH23" s="117">
        <f t="shared" si="28"/>
        <v>0.5456458139</v>
      </c>
      <c r="AI23" s="117">
        <f t="shared" ref="AI23:AJ23" si="82">X23/$L23</f>
        <v>0.5876634609</v>
      </c>
      <c r="AJ23" s="117">
        <f t="shared" si="82"/>
        <v>0.7070469343</v>
      </c>
      <c r="AK23" s="127"/>
      <c r="AL23" s="127"/>
      <c r="AM23" s="127"/>
      <c r="AN23" s="127"/>
      <c r="AO23" s="127"/>
      <c r="AP23" s="127"/>
      <c r="AQ23" s="127"/>
      <c r="AR23" s="127"/>
      <c r="AS23" s="127"/>
    </row>
    <row r="24">
      <c r="A24" s="111">
        <v>26.19</v>
      </c>
      <c r="B24" s="200" t="s">
        <v>53</v>
      </c>
      <c r="C24" s="165" t="s">
        <v>223</v>
      </c>
      <c r="D24" s="111">
        <f t="shared" si="43"/>
        <v>23.571</v>
      </c>
      <c r="E24" s="105">
        <f t="array" ref="E24">INDEX('Ex-Factory cost'!$D$3:$D$108,MATCH(B24,'Ex-Factory cost'!$B$3:$B$108,0))</f>
        <v>3.2</v>
      </c>
      <c r="F24" s="104">
        <f t="shared" si="5"/>
        <v>22.4</v>
      </c>
      <c r="G24" s="118">
        <v>177.0</v>
      </c>
      <c r="H24" s="165">
        <v>10.0</v>
      </c>
      <c r="I24" s="108">
        <f t="shared" si="6"/>
        <v>1770</v>
      </c>
      <c r="J24" s="109">
        <f t="shared" si="47"/>
        <v>0.15</v>
      </c>
      <c r="K24" s="110">
        <f t="shared" si="8"/>
        <v>8.5</v>
      </c>
      <c r="L24" s="108">
        <f t="shared" si="9"/>
        <v>1504.5</v>
      </c>
      <c r="M24" s="108">
        <f t="shared" si="10"/>
        <v>233.64</v>
      </c>
      <c r="N24" s="108">
        <f>11%*G24</f>
        <v>19.47</v>
      </c>
      <c r="O24" s="108">
        <f t="shared" si="11"/>
        <v>194.7</v>
      </c>
      <c r="P24" s="108">
        <f t="shared" si="12"/>
        <v>1076.16</v>
      </c>
      <c r="Q24" s="108">
        <f t="shared" si="13"/>
        <v>442.5</v>
      </c>
      <c r="R24" s="108">
        <f t="shared" si="14"/>
        <v>97.35</v>
      </c>
      <c r="S24" s="108">
        <f t="shared" si="15"/>
        <v>536.31</v>
      </c>
      <c r="T24" s="104">
        <f t="shared" si="16"/>
        <v>45.971</v>
      </c>
      <c r="U24" s="106">
        <f t="shared" si="17"/>
        <v>49.6834325</v>
      </c>
      <c r="V24" s="106">
        <f t="shared" si="18"/>
        <v>60.231455</v>
      </c>
      <c r="W24" s="111">
        <f t="shared" ref="W24:Y24" si="83">$H24*T24</f>
        <v>459.71</v>
      </c>
      <c r="X24" s="111">
        <f t="shared" si="83"/>
        <v>496.834325</v>
      </c>
      <c r="Y24" s="112">
        <f t="shared" si="83"/>
        <v>602.31455</v>
      </c>
      <c r="Z24" s="113">
        <f t="shared" ref="Z24:AB24" si="84">$S24-W24</f>
        <v>76.6</v>
      </c>
      <c r="AA24" s="113">
        <f t="shared" si="84"/>
        <v>39.475675</v>
      </c>
      <c r="AB24" s="113">
        <f t="shared" si="84"/>
        <v>-66.00455</v>
      </c>
      <c r="AC24" s="114">
        <f t="shared" si="21"/>
        <v>0.05091392489</v>
      </c>
      <c r="AD24" s="114">
        <f t="shared" si="22"/>
        <v>0.02230264124</v>
      </c>
      <c r="AE24" s="114">
        <f t="shared" si="23"/>
        <v>-0.04387141908</v>
      </c>
      <c r="AF24" s="115">
        <f t="shared" si="24"/>
        <v>0</v>
      </c>
      <c r="AG24" s="116">
        <v>56.0</v>
      </c>
      <c r="AH24" s="117">
        <f t="shared" si="28"/>
        <v>0.3055566633</v>
      </c>
      <c r="AI24" s="117">
        <f t="shared" ref="AI24:AJ24" si="85">X24/$L24</f>
        <v>0.3302321868</v>
      </c>
      <c r="AJ24" s="117">
        <f t="shared" si="85"/>
        <v>0.4003420073</v>
      </c>
      <c r="AK24" s="127"/>
      <c r="AL24" s="127"/>
      <c r="AM24" s="127"/>
      <c r="AN24" s="127"/>
      <c r="AO24" s="127"/>
      <c r="AP24" s="127"/>
      <c r="AQ24" s="127"/>
      <c r="AR24" s="127"/>
      <c r="AS24" s="127"/>
    </row>
    <row r="25">
      <c r="A25" s="165"/>
      <c r="B25" s="200" t="s">
        <v>270</v>
      </c>
      <c r="C25" s="165" t="s">
        <v>223</v>
      </c>
      <c r="D25" s="111">
        <f t="array" ref="D25">INDEX('Ex-Factory cost'!$C$3:$C$108,MATCH(B25,'Ex-Factory cost'!$B$3:$B$108,0))</f>
        <v>32.14</v>
      </c>
      <c r="E25" s="105">
        <f t="array" ref="E25">INDEX('Ex-Factory cost'!$D$3:$D$108,MATCH(B25,'Ex-Factory cost'!$B$3:$B$108,0))</f>
        <v>2.6</v>
      </c>
      <c r="F25" s="104">
        <f t="shared" si="5"/>
        <v>18.2</v>
      </c>
      <c r="G25" s="118">
        <v>190.99</v>
      </c>
      <c r="H25" s="165">
        <v>6.0</v>
      </c>
      <c r="I25" s="108">
        <f t="shared" si="6"/>
        <v>1145.94</v>
      </c>
      <c r="J25" s="109">
        <f t="shared" si="47"/>
        <v>0.15</v>
      </c>
      <c r="K25" s="110">
        <f t="shared" si="8"/>
        <v>5.1</v>
      </c>
      <c r="L25" s="108">
        <f t="shared" si="9"/>
        <v>974.049</v>
      </c>
      <c r="M25" s="108">
        <f t="shared" si="10"/>
        <v>151.26408</v>
      </c>
      <c r="N25" s="108">
        <v>21.67</v>
      </c>
      <c r="O25" s="108">
        <f t="shared" si="11"/>
        <v>130.02</v>
      </c>
      <c r="P25" s="108">
        <f t="shared" si="12"/>
        <v>692.76492</v>
      </c>
      <c r="Q25" s="108">
        <f t="shared" si="13"/>
        <v>286.485</v>
      </c>
      <c r="R25" s="108">
        <f t="shared" si="14"/>
        <v>63.0267</v>
      </c>
      <c r="S25" s="108">
        <f t="shared" si="15"/>
        <v>343.25322</v>
      </c>
      <c r="T25" s="104">
        <f t="shared" si="16"/>
        <v>50.34</v>
      </c>
      <c r="U25" s="106">
        <f t="shared" si="17"/>
        <v>55.40205</v>
      </c>
      <c r="V25" s="106">
        <f t="shared" si="18"/>
        <v>69.7847</v>
      </c>
      <c r="W25" s="111">
        <f t="shared" ref="W25:Y25" si="86">$H25*T25</f>
        <v>302.04</v>
      </c>
      <c r="X25" s="111">
        <f t="shared" si="86"/>
        <v>332.4123</v>
      </c>
      <c r="Y25" s="112">
        <f t="shared" si="86"/>
        <v>418.7082</v>
      </c>
      <c r="Z25" s="113">
        <f t="shared" ref="Z25:AB25" si="87">$S25-W25</f>
        <v>41.21322</v>
      </c>
      <c r="AA25" s="113">
        <f t="shared" si="87"/>
        <v>10.84092</v>
      </c>
      <c r="AB25" s="113">
        <f t="shared" si="87"/>
        <v>-75.45498</v>
      </c>
      <c r="AC25" s="114">
        <f t="shared" si="21"/>
        <v>0.04231123896</v>
      </c>
      <c r="AD25" s="114">
        <f t="shared" si="22"/>
        <v>0.009460285879</v>
      </c>
      <c r="AE25" s="114">
        <f t="shared" si="23"/>
        <v>-0.07746528152</v>
      </c>
      <c r="AF25" s="115">
        <f t="shared" si="24"/>
        <v>0</v>
      </c>
      <c r="AG25" s="116">
        <v>56.0</v>
      </c>
      <c r="AH25" s="117">
        <f t="shared" si="28"/>
        <v>0.3100870695</v>
      </c>
      <c r="AI25" s="117">
        <f t="shared" ref="AI25:AJ25" si="88">X25/$L25</f>
        <v>0.3412685604</v>
      </c>
      <c r="AJ25" s="117">
        <f t="shared" si="88"/>
        <v>0.42986359</v>
      </c>
      <c r="AK25" s="127"/>
      <c r="AL25" s="127"/>
      <c r="AM25" s="127"/>
      <c r="AN25" s="127"/>
      <c r="AO25" s="127"/>
      <c r="AP25" s="127"/>
      <c r="AQ25" s="127"/>
      <c r="AR25" s="127"/>
      <c r="AS25" s="127"/>
    </row>
    <row r="26">
      <c r="B26" s="119" t="s">
        <v>230</v>
      </c>
      <c r="C26" s="120"/>
      <c r="D26" s="120"/>
      <c r="E26" s="110"/>
      <c r="F26" s="120"/>
      <c r="G26" s="121"/>
      <c r="H26" s="122"/>
      <c r="I26" s="123">
        <f>SUM(I3:I25)</f>
        <v>49987.64</v>
      </c>
      <c r="J26" s="124"/>
      <c r="K26" s="124"/>
      <c r="L26" s="123">
        <f t="shared" ref="L26:S26" si="89">SUM(L3:L25)</f>
        <v>42489.494</v>
      </c>
      <c r="M26" s="123">
        <f t="shared" si="89"/>
        <v>6598.51848</v>
      </c>
      <c r="N26" s="123">
        <f t="shared" si="89"/>
        <v>690.7277</v>
      </c>
      <c r="O26" s="123">
        <f t="shared" si="89"/>
        <v>7855.6552</v>
      </c>
      <c r="P26" s="123">
        <f t="shared" si="89"/>
        <v>28035.47032</v>
      </c>
      <c r="Q26" s="123">
        <f t="shared" si="89"/>
        <v>12497.16</v>
      </c>
      <c r="R26" s="123">
        <f t="shared" si="89"/>
        <v>2749.3752</v>
      </c>
      <c r="S26" s="123">
        <f t="shared" si="89"/>
        <v>12789.24012</v>
      </c>
      <c r="T26" s="120"/>
      <c r="U26" s="121"/>
      <c r="V26" s="121"/>
      <c r="W26" s="125">
        <f t="shared" ref="W26:Y26" si="90">sum(W5:W10)</f>
        <v>3909.767128</v>
      </c>
      <c r="X26" s="125">
        <f t="shared" si="90"/>
        <v>4271.342398</v>
      </c>
      <c r="Y26" s="125">
        <f t="shared" si="90"/>
        <v>5298.675308</v>
      </c>
      <c r="Z26" s="123">
        <f t="shared" ref="Z26:AB26" si="91">SUM(Z3:Z25)</f>
        <v>-564.0604085</v>
      </c>
      <c r="AA26" s="123">
        <f t="shared" si="91"/>
        <v>-1807.048046</v>
      </c>
      <c r="AB26" s="123">
        <f t="shared" si="91"/>
        <v>-5338.711333</v>
      </c>
      <c r="AC26" s="126">
        <f t="shared" si="21"/>
        <v>-0.01327529126</v>
      </c>
      <c r="AD26" s="126">
        <f t="shared" si="22"/>
        <v>-0.03614989717</v>
      </c>
      <c r="AE26" s="126">
        <f t="shared" si="23"/>
        <v>-0.1256477974</v>
      </c>
      <c r="AF26" s="115">
        <f t="shared" si="24"/>
        <v>0.146953405</v>
      </c>
      <c r="AG26" s="127">
        <f>SUM(AG5:AG10)</f>
        <v>279</v>
      </c>
      <c r="AH26" s="117">
        <f t="shared" si="28"/>
        <v>0.09201726734</v>
      </c>
      <c r="AI26" s="117">
        <f t="shared" ref="AI26:AJ26" si="92">X26/$L26</f>
        <v>0.1005270244</v>
      </c>
      <c r="AJ26" s="117">
        <f t="shared" si="92"/>
        <v>0.1247055404</v>
      </c>
      <c r="AK26" s="127"/>
      <c r="AL26" s="127"/>
      <c r="AM26" s="127"/>
      <c r="AN26" s="127"/>
      <c r="AO26" s="127"/>
      <c r="AP26" s="127"/>
      <c r="AQ26" s="127"/>
      <c r="AR26" s="127"/>
      <c r="AS26" s="127">
        <f>SUM(AS5:AS10)</f>
        <v>41</v>
      </c>
    </row>
    <row r="28">
      <c r="M28" s="74"/>
      <c r="N28" s="74"/>
      <c r="O28" s="128"/>
      <c r="S28" s="129" t="s">
        <v>231</v>
      </c>
      <c r="T28" s="130">
        <v>0.1</v>
      </c>
    </row>
    <row r="29">
      <c r="M29" s="74"/>
      <c r="N29" s="74"/>
      <c r="O29" s="128"/>
      <c r="T29" s="18"/>
    </row>
    <row r="30">
      <c r="B30" s="101" t="s">
        <v>3</v>
      </c>
      <c r="H30" s="70">
        <f>214/26</f>
        <v>8.230769231</v>
      </c>
      <c r="M30" s="74"/>
      <c r="N30" s="74"/>
      <c r="O30" s="128"/>
      <c r="T30" s="101" t="s">
        <v>232</v>
      </c>
      <c r="U30" s="101" t="s">
        <v>271</v>
      </c>
      <c r="V30" s="101" t="s">
        <v>234</v>
      </c>
      <c r="W30" s="101" t="s">
        <v>207</v>
      </c>
      <c r="X30" s="101" t="s">
        <v>208</v>
      </c>
      <c r="Y30" s="101" t="s">
        <v>209</v>
      </c>
      <c r="Z30" s="101" t="s">
        <v>210</v>
      </c>
      <c r="AA30" s="101" t="s">
        <v>211</v>
      </c>
      <c r="AB30" s="101" t="s">
        <v>212</v>
      </c>
      <c r="AC30" s="101" t="s">
        <v>213</v>
      </c>
      <c r="AD30" s="101" t="s">
        <v>235</v>
      </c>
      <c r="AE30" s="101" t="s">
        <v>236</v>
      </c>
    </row>
    <row r="31">
      <c r="B31" s="102" t="s">
        <v>222</v>
      </c>
      <c r="E31" s="3"/>
      <c r="F31" s="3"/>
      <c r="G31" s="3"/>
      <c r="M31" s="74"/>
      <c r="N31" s="74"/>
      <c r="O31" s="128"/>
      <c r="T31" s="104">
        <f t="shared" ref="T31:T36" si="96">F5+D5*(1-$T$28)</f>
        <v>27.7385</v>
      </c>
      <c r="U31" s="106">
        <f t="shared" ref="U31:U36" si="97">D5*(1.02)*(1.25)*(1-$T$28)+F5</f>
        <v>32.5994</v>
      </c>
      <c r="V31" s="106">
        <f t="shared" ref="V31:V36" si="98">D5*(1.02)*(1.5)*(1-$T$28)+F5</f>
        <v>37.10678</v>
      </c>
      <c r="W31" s="111">
        <f t="shared" ref="W31:Y31" si="93">$H5*T31</f>
        <v>721.201</v>
      </c>
      <c r="X31" s="111">
        <f t="shared" si="93"/>
        <v>847.5844</v>
      </c>
      <c r="Y31" s="111">
        <f t="shared" si="93"/>
        <v>964.77628</v>
      </c>
      <c r="Z31" s="113">
        <f t="shared" ref="Z31:AB31" si="94">$S5-W31</f>
        <v>461.69162</v>
      </c>
      <c r="AA31" s="113">
        <f t="shared" si="94"/>
        <v>335.30822</v>
      </c>
      <c r="AB31" s="113">
        <f t="shared" si="94"/>
        <v>218.11634</v>
      </c>
      <c r="AC31" s="114">
        <f t="shared" ref="AC31:AE31" si="95">Z31/$L5</f>
        <v>0.1392827757</v>
      </c>
      <c r="AD31" s="114">
        <f t="shared" si="95"/>
        <v>0.101155528</v>
      </c>
      <c r="AE31" s="114">
        <f t="shared" si="95"/>
        <v>0.06580117106</v>
      </c>
    </row>
    <row r="32">
      <c r="B32" s="102" t="s">
        <v>224</v>
      </c>
      <c r="D32" s="7"/>
      <c r="E32" s="19"/>
      <c r="F32" s="19"/>
      <c r="M32" s="74"/>
      <c r="N32" s="74"/>
      <c r="O32" s="128"/>
      <c r="T32" s="104">
        <f t="shared" si="96"/>
        <v>27.7385</v>
      </c>
      <c r="U32" s="106">
        <f t="shared" si="97"/>
        <v>32.5994</v>
      </c>
      <c r="V32" s="106">
        <f t="shared" si="98"/>
        <v>37.10678</v>
      </c>
      <c r="W32" s="111">
        <f t="shared" ref="W32:Y32" si="99">$H6*T32</f>
        <v>721.201</v>
      </c>
      <c r="X32" s="111">
        <f t="shared" si="99"/>
        <v>847.5844</v>
      </c>
      <c r="Y32" s="111">
        <f t="shared" si="99"/>
        <v>964.77628</v>
      </c>
      <c r="Z32" s="113">
        <f t="shared" ref="Z32:AB32" si="100">$S6-W32</f>
        <v>461.69162</v>
      </c>
      <c r="AA32" s="113">
        <f t="shared" si="100"/>
        <v>335.30822</v>
      </c>
      <c r="AB32" s="113">
        <f t="shared" si="100"/>
        <v>218.11634</v>
      </c>
      <c r="AC32" s="114">
        <f t="shared" ref="AC32:AE32" si="101">Z32/$L6</f>
        <v>0.1392827757</v>
      </c>
      <c r="AD32" s="114">
        <f t="shared" si="101"/>
        <v>0.101155528</v>
      </c>
      <c r="AE32" s="114">
        <f t="shared" si="101"/>
        <v>0.06580117106</v>
      </c>
    </row>
    <row r="33">
      <c r="B33" s="102" t="s">
        <v>225</v>
      </c>
      <c r="D33" s="7"/>
      <c r="E33" s="19"/>
      <c r="F33" s="19"/>
      <c r="L33" s="7" t="s">
        <v>52</v>
      </c>
      <c r="M33" s="7" t="s">
        <v>279</v>
      </c>
      <c r="N33" s="74"/>
      <c r="O33" s="128"/>
      <c r="T33" s="104">
        <f t="shared" si="96"/>
        <v>36.3806</v>
      </c>
      <c r="U33" s="106">
        <f t="shared" si="97"/>
        <v>40.225265</v>
      </c>
      <c r="V33" s="106">
        <f t="shared" si="98"/>
        <v>43.790318</v>
      </c>
      <c r="W33" s="111">
        <f t="shared" ref="W33:Y33" si="102">$H7*T33</f>
        <v>763.9926</v>
      </c>
      <c r="X33" s="111">
        <f t="shared" si="102"/>
        <v>844.730565</v>
      </c>
      <c r="Y33" s="111">
        <f t="shared" si="102"/>
        <v>919.596678</v>
      </c>
      <c r="Z33" s="113">
        <f t="shared" ref="Z33:AB33" si="103">$S7-W33</f>
        <v>-5.97933</v>
      </c>
      <c r="AA33" s="113">
        <f t="shared" si="103"/>
        <v>-86.717295</v>
      </c>
      <c r="AB33" s="113">
        <f t="shared" si="103"/>
        <v>-161.583408</v>
      </c>
      <c r="AC33" s="114">
        <f t="shared" ref="AC33:AE33" si="104">Z33/$L7</f>
        <v>-0.002233325359</v>
      </c>
      <c r="AD33" s="114">
        <f t="shared" si="104"/>
        <v>-0.03238957107</v>
      </c>
      <c r="AE33" s="114">
        <f t="shared" si="104"/>
        <v>-0.06035263527</v>
      </c>
    </row>
    <row r="34">
      <c r="B34" s="102" t="s">
        <v>227</v>
      </c>
      <c r="D34" s="7"/>
      <c r="E34" s="19"/>
      <c r="F34" s="19"/>
      <c r="O34" s="128"/>
      <c r="T34" s="104">
        <f t="shared" si="96"/>
        <v>32.3528</v>
      </c>
      <c r="U34" s="106">
        <f t="shared" si="97"/>
        <v>35.66732</v>
      </c>
      <c r="V34" s="106">
        <f t="shared" si="98"/>
        <v>38.740784</v>
      </c>
      <c r="W34" s="111">
        <f t="shared" ref="W34:Y34" si="105">$H8*T34</f>
        <v>517.6448</v>
      </c>
      <c r="X34" s="111">
        <f t="shared" si="105"/>
        <v>570.67712</v>
      </c>
      <c r="Y34" s="111">
        <f t="shared" si="105"/>
        <v>619.852544</v>
      </c>
      <c r="Z34" s="113">
        <f t="shared" ref="Z34:AB34" si="106">$S8-W34</f>
        <v>18.12912</v>
      </c>
      <c r="AA34" s="113">
        <f t="shared" si="106"/>
        <v>-34.9032</v>
      </c>
      <c r="AB34" s="113">
        <f t="shared" si="106"/>
        <v>-84.078624</v>
      </c>
      <c r="AC34" s="114">
        <f t="shared" ref="AC34:AE34" si="107">Z34/$L8</f>
        <v>0.009522276801</v>
      </c>
      <c r="AD34" s="114">
        <f t="shared" si="107"/>
        <v>-0.01833282209</v>
      </c>
      <c r="AE34" s="114">
        <f t="shared" si="107"/>
        <v>-0.04416209561</v>
      </c>
    </row>
    <row r="35">
      <c r="B35" s="102" t="s">
        <v>228</v>
      </c>
      <c r="D35" s="131"/>
      <c r="E35" s="132"/>
      <c r="F35" s="132"/>
      <c r="O35" s="128"/>
      <c r="T35" s="104">
        <f t="shared" si="96"/>
        <v>61.99438785</v>
      </c>
      <c r="U35" s="106">
        <f t="shared" si="97"/>
        <v>73.53061035</v>
      </c>
      <c r="V35" s="106">
        <f t="shared" si="98"/>
        <v>84.22783485</v>
      </c>
      <c r="W35" s="111">
        <f t="shared" ref="W35:Y35" si="108">$H9*T35</f>
        <v>619.9438785</v>
      </c>
      <c r="X35" s="111">
        <f t="shared" si="108"/>
        <v>735.3061035</v>
      </c>
      <c r="Y35" s="111">
        <f t="shared" si="108"/>
        <v>842.2783485</v>
      </c>
      <c r="Z35" s="113">
        <f t="shared" ref="Z35:AB35" si="109">$S9-W35</f>
        <v>168.9261215</v>
      </c>
      <c r="AA35" s="113">
        <f t="shared" si="109"/>
        <v>53.56389653</v>
      </c>
      <c r="AB35" s="113">
        <f t="shared" si="109"/>
        <v>-53.40834847</v>
      </c>
      <c r="AC35" s="114">
        <f t="shared" ref="AC35:AE35" si="110">Z35/$L9</f>
        <v>0.07981390103</v>
      </c>
      <c r="AD35" s="114">
        <f t="shared" si="110"/>
        <v>0.02530777062</v>
      </c>
      <c r="AE35" s="114">
        <f t="shared" si="110"/>
        <v>-0.02523427757</v>
      </c>
    </row>
    <row r="36">
      <c r="B36" s="102" t="s">
        <v>229</v>
      </c>
      <c r="D36" s="131"/>
      <c r="E36" s="132"/>
      <c r="F36" s="132"/>
      <c r="T36" s="104">
        <f t="shared" si="96"/>
        <v>18.67845833</v>
      </c>
      <c r="U36" s="106">
        <f t="shared" si="97"/>
        <v>22.36125833</v>
      </c>
      <c r="V36" s="106">
        <f t="shared" si="98"/>
        <v>25.77621833</v>
      </c>
      <c r="W36" s="111">
        <f t="shared" ref="W36:Y36" si="111">$H10*T36</f>
        <v>336.21225</v>
      </c>
      <c r="X36" s="111">
        <f t="shared" si="111"/>
        <v>402.50265</v>
      </c>
      <c r="Y36" s="111">
        <f t="shared" si="111"/>
        <v>463.97193</v>
      </c>
      <c r="Z36" s="113">
        <f t="shared" ref="Z36:AB36" si="112">$S10-W36</f>
        <v>196.33341</v>
      </c>
      <c r="AA36" s="113">
        <f t="shared" si="112"/>
        <v>130.04301</v>
      </c>
      <c r="AB36" s="113">
        <f t="shared" si="112"/>
        <v>68.57373</v>
      </c>
      <c r="AC36" s="114">
        <f t="shared" ref="AC36:AE36" si="113">Z36/$L10</f>
        <v>0.1283353237</v>
      </c>
      <c r="AD36" s="114">
        <f t="shared" si="113"/>
        <v>0.08500393177</v>
      </c>
      <c r="AE36" s="114">
        <f t="shared" si="113"/>
        <v>0.04482391376</v>
      </c>
    </row>
    <row r="37">
      <c r="B37" s="119" t="s">
        <v>230</v>
      </c>
      <c r="D37" s="7"/>
      <c r="W37" s="125">
        <f t="shared" ref="W37:AB37" si="114">sum(W31:W36)</f>
        <v>3680.195528</v>
      </c>
      <c r="X37" s="125">
        <f t="shared" si="114"/>
        <v>4248.385238</v>
      </c>
      <c r="Y37" s="125">
        <f t="shared" si="114"/>
        <v>4775.25206</v>
      </c>
      <c r="Z37" s="123">
        <f t="shared" si="114"/>
        <v>1300.792562</v>
      </c>
      <c r="AA37" s="123">
        <f t="shared" si="114"/>
        <v>732.6028515</v>
      </c>
      <c r="AB37" s="123">
        <f t="shared" si="114"/>
        <v>205.7360295</v>
      </c>
      <c r="AC37" s="133">
        <f t="shared" ref="AC37:AE37" si="115">Z37/$L26</f>
        <v>0.03061445169</v>
      </c>
      <c r="AD37" s="133">
        <f t="shared" si="115"/>
        <v>0.01724197637</v>
      </c>
      <c r="AE37" s="133">
        <f t="shared" si="115"/>
        <v>0.004842044707</v>
      </c>
    </row>
    <row r="39">
      <c r="H39" s="7">
        <v>30.0</v>
      </c>
      <c r="I39" s="7">
        <v>79.99</v>
      </c>
      <c r="J39" s="70">
        <f t="shared" ref="J39:J59" si="116">H39*I39</f>
        <v>2399.7</v>
      </c>
      <c r="T39" s="134" t="s">
        <v>237</v>
      </c>
    </row>
    <row r="40">
      <c r="D40" s="7"/>
      <c r="H40" s="7">
        <v>2.0</v>
      </c>
      <c r="I40" s="7">
        <v>699.99</v>
      </c>
      <c r="J40" s="70">
        <f t="shared" si="116"/>
        <v>1399.98</v>
      </c>
    </row>
    <row r="41">
      <c r="H41" s="7">
        <v>4.0</v>
      </c>
      <c r="I41" s="7">
        <v>169.99</v>
      </c>
      <c r="J41" s="70">
        <f t="shared" si="116"/>
        <v>679.96</v>
      </c>
      <c r="N41" s="74"/>
      <c r="T41" s="88" t="s">
        <v>238</v>
      </c>
    </row>
    <row r="42">
      <c r="H42" s="7">
        <v>32.0</v>
      </c>
      <c r="I42" s="7">
        <v>189.99</v>
      </c>
      <c r="J42" s="70">
        <f t="shared" si="116"/>
        <v>6079.68</v>
      </c>
      <c r="O42" s="7">
        <v>39.01</v>
      </c>
      <c r="T42" s="7" t="s">
        <v>239</v>
      </c>
    </row>
    <row r="43">
      <c r="H43" s="7">
        <v>22.0</v>
      </c>
      <c r="I43" s="7">
        <v>419.99</v>
      </c>
      <c r="J43" s="70">
        <f t="shared" si="116"/>
        <v>9239.78</v>
      </c>
      <c r="O43" s="108">
        <v>18.33</v>
      </c>
      <c r="T43" s="7" t="s">
        <v>240</v>
      </c>
    </row>
    <row r="44">
      <c r="H44" s="7">
        <v>24.0</v>
      </c>
      <c r="I44" s="7">
        <v>379.99</v>
      </c>
      <c r="J44" s="70">
        <f t="shared" si="116"/>
        <v>9119.76</v>
      </c>
      <c r="O44" s="7">
        <v>8.23</v>
      </c>
      <c r="T44" s="7" t="s">
        <v>241</v>
      </c>
    </row>
    <row r="45">
      <c r="H45" s="7">
        <v>34.0</v>
      </c>
      <c r="I45" s="7">
        <v>309.99</v>
      </c>
      <c r="J45" s="70">
        <f t="shared" si="116"/>
        <v>10539.66</v>
      </c>
      <c r="O45" s="70">
        <f>sum(O42:O44)</f>
        <v>65.57</v>
      </c>
      <c r="T45" s="7" t="s">
        <v>242</v>
      </c>
    </row>
    <row r="46">
      <c r="H46" s="7">
        <v>26.0</v>
      </c>
      <c r="I46" s="7">
        <v>249.99</v>
      </c>
      <c r="J46" s="70">
        <f t="shared" si="116"/>
        <v>6499.74</v>
      </c>
    </row>
    <row r="47">
      <c r="H47" s="7">
        <v>2.0</v>
      </c>
      <c r="I47" s="70">
        <f>249.99+199.99</f>
        <v>449.98</v>
      </c>
      <c r="J47" s="70">
        <f t="shared" si="116"/>
        <v>899.96</v>
      </c>
      <c r="T47" s="88" t="s">
        <v>243</v>
      </c>
    </row>
    <row r="48">
      <c r="H48" s="7">
        <v>2.0</v>
      </c>
      <c r="I48" s="70">
        <f>199.99+229.99</f>
        <v>429.98</v>
      </c>
      <c r="J48" s="70">
        <f t="shared" si="116"/>
        <v>859.96</v>
      </c>
      <c r="T48" s="7" t="s">
        <v>244</v>
      </c>
    </row>
    <row r="49">
      <c r="H49" s="7">
        <v>17.0</v>
      </c>
      <c r="I49" s="7">
        <v>279.99</v>
      </c>
      <c r="J49" s="70">
        <f t="shared" si="116"/>
        <v>4759.83</v>
      </c>
      <c r="T49" s="7" t="s">
        <v>245</v>
      </c>
    </row>
    <row r="50">
      <c r="H50" s="7">
        <v>4.0</v>
      </c>
      <c r="I50" s="7">
        <v>649.99</v>
      </c>
      <c r="J50" s="70">
        <f t="shared" si="116"/>
        <v>2599.96</v>
      </c>
      <c r="T50" s="7" t="s">
        <v>246</v>
      </c>
    </row>
    <row r="51">
      <c r="H51" s="7">
        <v>2.0</v>
      </c>
      <c r="I51" s="7">
        <v>449.99</v>
      </c>
      <c r="J51" s="70">
        <f t="shared" si="116"/>
        <v>899.98</v>
      </c>
      <c r="T51" s="7" t="s">
        <v>247</v>
      </c>
    </row>
    <row r="52">
      <c r="H52" s="7">
        <v>29.0</v>
      </c>
      <c r="I52" s="7">
        <v>279.99</v>
      </c>
      <c r="J52" s="70">
        <f t="shared" si="116"/>
        <v>8119.71</v>
      </c>
      <c r="T52" s="7" t="s">
        <v>248</v>
      </c>
    </row>
    <row r="53">
      <c r="H53" s="7">
        <v>7.0</v>
      </c>
      <c r="I53" s="7">
        <v>154.99</v>
      </c>
      <c r="J53" s="70">
        <f t="shared" si="116"/>
        <v>1084.93</v>
      </c>
      <c r="T53" s="88" t="s">
        <v>249</v>
      </c>
    </row>
    <row r="54">
      <c r="H54" s="7">
        <v>33.0</v>
      </c>
      <c r="I54" s="7">
        <v>139.99</v>
      </c>
      <c r="J54" s="70">
        <f t="shared" si="116"/>
        <v>4619.67</v>
      </c>
      <c r="T54" s="88"/>
    </row>
    <row r="55">
      <c r="H55" s="7">
        <v>12.0</v>
      </c>
      <c r="I55" s="7">
        <v>139.99</v>
      </c>
      <c r="J55" s="70">
        <f t="shared" si="116"/>
        <v>1679.88</v>
      </c>
      <c r="T55" s="88" t="s">
        <v>250</v>
      </c>
    </row>
    <row r="56">
      <c r="H56" s="7">
        <v>19.0</v>
      </c>
      <c r="I56" s="7">
        <v>149.99</v>
      </c>
      <c r="J56" s="70">
        <f t="shared" si="116"/>
        <v>2849.81</v>
      </c>
      <c r="T56" s="7" t="s">
        <v>251</v>
      </c>
    </row>
    <row r="57">
      <c r="H57" s="7">
        <v>28.0</v>
      </c>
      <c r="I57" s="7">
        <v>94.99</v>
      </c>
      <c r="J57" s="70">
        <f t="shared" si="116"/>
        <v>2659.72</v>
      </c>
      <c r="T57" s="7" t="s">
        <v>252</v>
      </c>
    </row>
    <row r="58">
      <c r="H58" s="7">
        <v>33.0</v>
      </c>
      <c r="I58" s="7">
        <v>259.99</v>
      </c>
      <c r="J58" s="70">
        <f t="shared" si="116"/>
        <v>8579.67</v>
      </c>
      <c r="T58" s="88"/>
    </row>
    <row r="59">
      <c r="H59" s="7">
        <v>44.0</v>
      </c>
      <c r="I59" s="7">
        <v>199.99</v>
      </c>
      <c r="J59" s="70">
        <f t="shared" si="116"/>
        <v>8799.56</v>
      </c>
      <c r="T59" s="88" t="s">
        <v>253</v>
      </c>
    </row>
    <row r="60">
      <c r="J60" s="70">
        <f>sum(J39:J59)</f>
        <v>94370.9</v>
      </c>
      <c r="T60" s="7" t="s">
        <v>254</v>
      </c>
    </row>
    <row r="62">
      <c r="T62" s="88" t="s">
        <v>255</v>
      </c>
    </row>
    <row r="64">
      <c r="G64" s="7" t="s">
        <v>272</v>
      </c>
    </row>
    <row r="65">
      <c r="G65" s="7" t="s">
        <v>273</v>
      </c>
    </row>
    <row r="66">
      <c r="G66" s="7" t="s">
        <v>274</v>
      </c>
    </row>
    <row r="67">
      <c r="G67" s="7" t="s">
        <v>275</v>
      </c>
    </row>
    <row r="78">
      <c r="K78" s="70">
        <f>12000*85</f>
        <v>1020000</v>
      </c>
    </row>
  </sheetData>
  <conditionalFormatting sqref="AC5:AE26 AC31:AE37">
    <cfRule type="colorScale" priority="1">
      <colorScale>
        <cfvo type="min"/>
        <cfvo type="formula" val="0"/>
        <cfvo type="max"/>
        <color rgb="FFE06666"/>
        <color rgb="FFFFFFFF"/>
        <color rgb="FF93C47D"/>
      </colorScale>
    </cfRule>
  </conditionalFormatting>
  <drawing r:id="rId1"/>
  <tableParts count="13">
    <tablePart r:id="rId15"/>
    <tablePart r:id="rId16"/>
    <tablePart r:id="rId17"/>
    <tablePart r:id="rId18"/>
    <tablePart r:id="rId19"/>
    <tablePart r:id="rId20"/>
    <tablePart r:id="rId21"/>
    <tablePart r:id="rId22"/>
    <tablePart r:id="rId23"/>
    <tablePart r:id="rId24"/>
    <tablePart r:id="rId25"/>
    <tablePart r:id="rId26"/>
    <tablePart r:id="rId27"/>
  </tableParts>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24.0"/>
    <col customWidth="1" min="2" max="2" width="24.13"/>
    <col customWidth="1" min="3" max="3" width="24.38"/>
    <col customWidth="1" min="5" max="5" width="21.88"/>
  </cols>
  <sheetData>
    <row r="1">
      <c r="E1" s="7">
        <v>84.0</v>
      </c>
    </row>
    <row r="2">
      <c r="B2" s="201" t="s">
        <v>3</v>
      </c>
      <c r="C2" s="202" t="s">
        <v>280</v>
      </c>
      <c r="D2" s="202" t="s">
        <v>189</v>
      </c>
      <c r="E2" s="202" t="s">
        <v>281</v>
      </c>
    </row>
    <row r="3">
      <c r="B3" s="203" t="s">
        <v>263</v>
      </c>
      <c r="C3" s="204">
        <v>73.81</v>
      </c>
      <c r="D3" s="205">
        <v>4.5</v>
      </c>
      <c r="E3" s="206">
        <f t="shared" ref="E3:E108" si="1">C3*$E$1</f>
        <v>6200.04</v>
      </c>
    </row>
    <row r="4">
      <c r="B4" s="203" t="s">
        <v>262</v>
      </c>
      <c r="C4" s="204">
        <v>82.14</v>
      </c>
      <c r="D4" s="3">
        <v>4.9</v>
      </c>
      <c r="E4" s="206">
        <f t="shared" si="1"/>
        <v>6899.76</v>
      </c>
    </row>
    <row r="5">
      <c r="B5" s="207" t="s">
        <v>282</v>
      </c>
      <c r="C5" s="208">
        <v>155.95</v>
      </c>
      <c r="D5" s="205">
        <v>9.5</v>
      </c>
      <c r="E5" s="206">
        <f t="shared" si="1"/>
        <v>13099.8</v>
      </c>
    </row>
    <row r="6">
      <c r="B6" s="207" t="s">
        <v>283</v>
      </c>
      <c r="C6" s="208">
        <v>66.67</v>
      </c>
      <c r="D6" s="205">
        <v>7.5</v>
      </c>
      <c r="E6" s="206">
        <f t="shared" si="1"/>
        <v>5600.28</v>
      </c>
    </row>
    <row r="7">
      <c r="B7" s="207" t="s">
        <v>284</v>
      </c>
      <c r="C7" s="208">
        <v>69.05</v>
      </c>
      <c r="D7" s="205">
        <v>9.6</v>
      </c>
      <c r="E7" s="206">
        <f t="shared" si="1"/>
        <v>5800.2</v>
      </c>
    </row>
    <row r="8">
      <c r="B8" s="207" t="s">
        <v>285</v>
      </c>
      <c r="C8" s="208">
        <v>202.38</v>
      </c>
      <c r="D8" s="205">
        <v>19.9</v>
      </c>
      <c r="E8" s="206">
        <f t="shared" si="1"/>
        <v>16999.92</v>
      </c>
    </row>
    <row r="9">
      <c r="B9" s="203" t="s">
        <v>286</v>
      </c>
      <c r="C9" s="204">
        <v>101.19</v>
      </c>
      <c r="D9" s="205">
        <v>20.1</v>
      </c>
      <c r="E9" s="206">
        <f t="shared" si="1"/>
        <v>8499.96</v>
      </c>
    </row>
    <row r="10">
      <c r="B10" s="207" t="s">
        <v>287</v>
      </c>
      <c r="C10" s="208">
        <v>77.38</v>
      </c>
      <c r="D10" s="205">
        <v>9.4</v>
      </c>
      <c r="E10" s="206">
        <f t="shared" si="1"/>
        <v>6499.92</v>
      </c>
    </row>
    <row r="11">
      <c r="B11" s="207" t="s">
        <v>288</v>
      </c>
      <c r="C11" s="208">
        <v>97.62</v>
      </c>
      <c r="D11" s="205">
        <v>11.7</v>
      </c>
      <c r="E11" s="206">
        <f t="shared" si="1"/>
        <v>8200.08</v>
      </c>
    </row>
    <row r="12">
      <c r="B12" s="207" t="s">
        <v>267</v>
      </c>
      <c r="C12" s="208">
        <v>94.05</v>
      </c>
      <c r="D12" s="205">
        <v>4.7</v>
      </c>
      <c r="E12" s="206">
        <f t="shared" si="1"/>
        <v>7900.2</v>
      </c>
    </row>
    <row r="13">
      <c r="B13" s="207" t="s">
        <v>289</v>
      </c>
      <c r="C13" s="208">
        <v>26.79</v>
      </c>
      <c r="D13" s="205">
        <v>6.3</v>
      </c>
      <c r="E13" s="206">
        <f t="shared" si="1"/>
        <v>2250.36</v>
      </c>
    </row>
    <row r="14">
      <c r="B14" s="207" t="s">
        <v>290</v>
      </c>
      <c r="C14" s="208">
        <v>35.71</v>
      </c>
      <c r="D14" s="205">
        <v>7.4</v>
      </c>
      <c r="E14" s="206">
        <f t="shared" si="1"/>
        <v>2999.64</v>
      </c>
    </row>
    <row r="15">
      <c r="B15" s="207" t="s">
        <v>264</v>
      </c>
      <c r="C15" s="208">
        <v>88.1</v>
      </c>
      <c r="D15" s="205">
        <v>12.4</v>
      </c>
      <c r="E15" s="206">
        <f t="shared" si="1"/>
        <v>7400.4</v>
      </c>
    </row>
    <row r="16">
      <c r="B16" s="207" t="s">
        <v>268</v>
      </c>
      <c r="C16" s="208">
        <v>92.86</v>
      </c>
      <c r="D16" s="205">
        <v>14.5</v>
      </c>
      <c r="E16" s="206">
        <f t="shared" si="1"/>
        <v>7800.24</v>
      </c>
    </row>
    <row r="17">
      <c r="B17" s="207" t="s">
        <v>291</v>
      </c>
      <c r="C17" s="208">
        <v>180.95</v>
      </c>
      <c r="D17" s="205">
        <v>26.9</v>
      </c>
      <c r="E17" s="206">
        <f t="shared" si="1"/>
        <v>15199.8</v>
      </c>
    </row>
    <row r="18">
      <c r="B18" s="207" t="s">
        <v>292</v>
      </c>
      <c r="C18" s="208">
        <v>163.07</v>
      </c>
      <c r="D18" s="205">
        <v>11.4</v>
      </c>
      <c r="E18" s="206">
        <f t="shared" si="1"/>
        <v>13697.88</v>
      </c>
    </row>
    <row r="19">
      <c r="B19" s="203" t="s">
        <v>293</v>
      </c>
      <c r="C19" s="204">
        <v>212.44</v>
      </c>
      <c r="D19" s="205">
        <v>11.9</v>
      </c>
      <c r="E19" s="206">
        <f t="shared" si="1"/>
        <v>17844.96</v>
      </c>
    </row>
    <row r="20">
      <c r="B20" s="207" t="s">
        <v>294</v>
      </c>
      <c r="C20" s="208">
        <v>120.04</v>
      </c>
      <c r="D20" s="205">
        <v>7.9</v>
      </c>
      <c r="E20" s="206">
        <f t="shared" si="1"/>
        <v>10083.36</v>
      </c>
    </row>
    <row r="21">
      <c r="B21" s="207" t="s">
        <v>295</v>
      </c>
      <c r="C21" s="208">
        <v>78.57</v>
      </c>
      <c r="D21" s="205">
        <v>3.1</v>
      </c>
      <c r="E21" s="206">
        <f t="shared" si="1"/>
        <v>6599.88</v>
      </c>
    </row>
    <row r="22">
      <c r="B22" s="207" t="s">
        <v>296</v>
      </c>
      <c r="C22" s="208">
        <v>97.62</v>
      </c>
      <c r="D22" s="205">
        <v>20.1</v>
      </c>
      <c r="E22" s="206">
        <f t="shared" si="1"/>
        <v>8200.08</v>
      </c>
    </row>
    <row r="23">
      <c r="B23" s="207" t="s">
        <v>297</v>
      </c>
      <c r="C23" s="208">
        <v>148.81</v>
      </c>
      <c r="D23" s="205">
        <v>33.8</v>
      </c>
      <c r="E23" s="206">
        <f t="shared" si="1"/>
        <v>12500.04</v>
      </c>
    </row>
    <row r="24">
      <c r="B24" s="207" t="s">
        <v>298</v>
      </c>
      <c r="C24" s="208">
        <v>141.67</v>
      </c>
      <c r="D24" s="205">
        <v>18.6</v>
      </c>
      <c r="E24" s="206">
        <f t="shared" si="1"/>
        <v>11900.28</v>
      </c>
    </row>
    <row r="25">
      <c r="B25" s="207" t="s">
        <v>299</v>
      </c>
      <c r="C25" s="208">
        <v>85.71</v>
      </c>
      <c r="D25" s="205">
        <v>8.1</v>
      </c>
      <c r="E25" s="206">
        <f t="shared" si="1"/>
        <v>7199.64</v>
      </c>
    </row>
    <row r="26">
      <c r="B26" s="207" t="s">
        <v>300</v>
      </c>
      <c r="C26" s="208">
        <v>58.33</v>
      </c>
      <c r="D26" s="205">
        <v>5.4</v>
      </c>
      <c r="E26" s="206">
        <f t="shared" si="1"/>
        <v>4899.72</v>
      </c>
    </row>
    <row r="27">
      <c r="B27" s="207" t="s">
        <v>301</v>
      </c>
      <c r="C27" s="208">
        <v>58.33</v>
      </c>
      <c r="D27" s="205">
        <v>5.4</v>
      </c>
      <c r="E27" s="206">
        <f t="shared" si="1"/>
        <v>4899.72</v>
      </c>
    </row>
    <row r="28">
      <c r="B28" s="207" t="s">
        <v>302</v>
      </c>
      <c r="C28" s="208">
        <v>76.19</v>
      </c>
      <c r="D28" s="205">
        <v>13.2</v>
      </c>
      <c r="E28" s="206">
        <f t="shared" si="1"/>
        <v>6399.96</v>
      </c>
    </row>
    <row r="29">
      <c r="B29" s="207" t="s">
        <v>303</v>
      </c>
      <c r="C29" s="208">
        <v>76.19</v>
      </c>
      <c r="D29" s="205">
        <v>13.2</v>
      </c>
      <c r="E29" s="206">
        <f t="shared" si="1"/>
        <v>6399.96</v>
      </c>
    </row>
    <row r="30">
      <c r="B30" s="207" t="s">
        <v>304</v>
      </c>
      <c r="C30" s="208">
        <v>58.33</v>
      </c>
      <c r="D30" s="205">
        <v>4.0</v>
      </c>
      <c r="E30" s="206">
        <f t="shared" si="1"/>
        <v>4899.72</v>
      </c>
    </row>
    <row r="31">
      <c r="B31" s="207" t="s">
        <v>269</v>
      </c>
      <c r="C31" s="208">
        <v>82.14</v>
      </c>
      <c r="D31" s="205">
        <v>8.3</v>
      </c>
      <c r="E31" s="206">
        <f t="shared" si="1"/>
        <v>6899.76</v>
      </c>
    </row>
    <row r="32">
      <c r="B32" s="207" t="s">
        <v>305</v>
      </c>
      <c r="C32" s="208">
        <v>113.1</v>
      </c>
      <c r="D32" s="205">
        <v>13.0</v>
      </c>
      <c r="E32" s="206">
        <f t="shared" si="1"/>
        <v>9500.4</v>
      </c>
    </row>
    <row r="33">
      <c r="B33" s="207" t="s">
        <v>306</v>
      </c>
      <c r="C33" s="208">
        <v>148.81</v>
      </c>
      <c r="D33" s="205">
        <v>14.6</v>
      </c>
      <c r="E33" s="206">
        <f t="shared" si="1"/>
        <v>12500.04</v>
      </c>
    </row>
    <row r="34">
      <c r="B34" s="207" t="s">
        <v>307</v>
      </c>
      <c r="C34" s="208">
        <v>51.79</v>
      </c>
      <c r="D34" s="205">
        <v>2.9</v>
      </c>
      <c r="E34" s="206">
        <f t="shared" si="1"/>
        <v>4350.36</v>
      </c>
    </row>
    <row r="35">
      <c r="B35" s="207" t="s">
        <v>50</v>
      </c>
      <c r="C35" s="208">
        <v>51.79</v>
      </c>
      <c r="D35" s="205">
        <v>2.0</v>
      </c>
      <c r="E35" s="206">
        <f t="shared" si="1"/>
        <v>4350.36</v>
      </c>
    </row>
    <row r="36">
      <c r="B36" s="207" t="s">
        <v>50</v>
      </c>
      <c r="C36" s="208"/>
      <c r="D36" s="181"/>
      <c r="E36" s="206">
        <f t="shared" si="1"/>
        <v>0</v>
      </c>
    </row>
    <row r="37">
      <c r="B37" s="207" t="s">
        <v>308</v>
      </c>
      <c r="C37" s="208">
        <v>103.57</v>
      </c>
      <c r="D37" s="205">
        <v>4.6</v>
      </c>
      <c r="E37" s="206">
        <f t="shared" si="1"/>
        <v>8699.88</v>
      </c>
    </row>
    <row r="38">
      <c r="B38" s="207" t="s">
        <v>309</v>
      </c>
      <c r="C38" s="208">
        <v>51.79</v>
      </c>
      <c r="D38" s="205">
        <v>2.0</v>
      </c>
      <c r="E38" s="206">
        <f t="shared" si="1"/>
        <v>4350.36</v>
      </c>
    </row>
    <row r="39">
      <c r="B39" s="207" t="s">
        <v>51</v>
      </c>
      <c r="C39" s="208">
        <v>51.79</v>
      </c>
      <c r="D39" s="205">
        <v>2.9</v>
      </c>
      <c r="E39" s="206">
        <f t="shared" si="1"/>
        <v>4350.36</v>
      </c>
    </row>
    <row r="40">
      <c r="B40" s="207" t="s">
        <v>64</v>
      </c>
      <c r="C40" s="208">
        <v>46.27</v>
      </c>
      <c r="D40" s="205">
        <v>4.8</v>
      </c>
      <c r="E40" s="206">
        <f t="shared" si="1"/>
        <v>3886.68</v>
      </c>
    </row>
    <row r="41">
      <c r="B41" s="207" t="s">
        <v>265</v>
      </c>
      <c r="C41" s="208">
        <v>57.14</v>
      </c>
      <c r="D41" s="205">
        <v>5.7</v>
      </c>
      <c r="E41" s="206">
        <f t="shared" si="1"/>
        <v>4799.76</v>
      </c>
    </row>
    <row r="42">
      <c r="B42" s="207" t="s">
        <v>63</v>
      </c>
      <c r="C42" s="208">
        <v>50.0</v>
      </c>
      <c r="D42" s="205">
        <v>5.5</v>
      </c>
      <c r="E42" s="206">
        <f t="shared" si="1"/>
        <v>4200</v>
      </c>
    </row>
    <row r="43">
      <c r="B43" s="207" t="s">
        <v>65</v>
      </c>
      <c r="C43" s="208">
        <v>60.71</v>
      </c>
      <c r="D43" s="205">
        <v>5.0</v>
      </c>
      <c r="E43" s="206">
        <f t="shared" si="1"/>
        <v>5099.64</v>
      </c>
    </row>
    <row r="44">
      <c r="B44" s="207" t="s">
        <v>310</v>
      </c>
      <c r="C44" s="208">
        <v>71.25</v>
      </c>
      <c r="D44" s="205">
        <v>3.2</v>
      </c>
      <c r="E44" s="206">
        <f t="shared" si="1"/>
        <v>5985</v>
      </c>
    </row>
    <row r="45">
      <c r="B45" s="207" t="s">
        <v>46</v>
      </c>
      <c r="C45" s="208">
        <v>29.76</v>
      </c>
      <c r="D45" s="205">
        <v>4.6</v>
      </c>
      <c r="E45" s="206">
        <f t="shared" si="1"/>
        <v>2499.84</v>
      </c>
    </row>
    <row r="46">
      <c r="B46" s="207" t="s">
        <v>52</v>
      </c>
      <c r="C46" s="208">
        <v>26.67</v>
      </c>
      <c r="D46" s="205">
        <v>2.9</v>
      </c>
      <c r="E46" s="206">
        <f t="shared" si="1"/>
        <v>2240.28</v>
      </c>
    </row>
    <row r="47">
      <c r="B47" s="207" t="s">
        <v>311</v>
      </c>
      <c r="C47" s="208">
        <v>35.42</v>
      </c>
      <c r="D47" s="205">
        <v>4.5</v>
      </c>
      <c r="E47" s="206">
        <f t="shared" si="1"/>
        <v>2975.28</v>
      </c>
    </row>
    <row r="48">
      <c r="B48" s="207" t="s">
        <v>312</v>
      </c>
      <c r="C48" s="208">
        <v>57.19</v>
      </c>
      <c r="D48" s="205">
        <v>5.6</v>
      </c>
      <c r="E48" s="206">
        <f t="shared" si="1"/>
        <v>4803.96</v>
      </c>
    </row>
    <row r="49">
      <c r="B49" s="207" t="s">
        <v>53</v>
      </c>
      <c r="C49" s="208">
        <v>26.19</v>
      </c>
      <c r="D49" s="205">
        <v>3.2</v>
      </c>
      <c r="E49" s="206">
        <f t="shared" si="1"/>
        <v>2199.96</v>
      </c>
    </row>
    <row r="50">
      <c r="B50" s="207" t="s">
        <v>66</v>
      </c>
      <c r="C50" s="208">
        <v>47.62</v>
      </c>
      <c r="D50" s="205">
        <v>6.4</v>
      </c>
      <c r="E50" s="206">
        <f t="shared" si="1"/>
        <v>4000.08</v>
      </c>
    </row>
    <row r="51">
      <c r="B51" s="207" t="s">
        <v>313</v>
      </c>
      <c r="C51" s="208">
        <v>70.83</v>
      </c>
      <c r="D51" s="205">
        <v>10.2</v>
      </c>
      <c r="E51" s="206">
        <f t="shared" si="1"/>
        <v>5949.72</v>
      </c>
    </row>
    <row r="52">
      <c r="B52" s="207" t="s">
        <v>314</v>
      </c>
      <c r="C52" s="208">
        <v>43.81</v>
      </c>
      <c r="D52" s="205">
        <v>8.9</v>
      </c>
      <c r="E52" s="206">
        <f t="shared" si="1"/>
        <v>3680.04</v>
      </c>
    </row>
    <row r="53">
      <c r="B53" s="207" t="s">
        <v>315</v>
      </c>
      <c r="C53" s="208">
        <v>33.33</v>
      </c>
      <c r="D53" s="205">
        <v>7.8</v>
      </c>
      <c r="E53" s="206">
        <f t="shared" si="1"/>
        <v>2799.72</v>
      </c>
    </row>
    <row r="54">
      <c r="B54" s="207" t="s">
        <v>316</v>
      </c>
      <c r="C54" s="208">
        <v>35.71</v>
      </c>
      <c r="D54" s="205">
        <v>3.8</v>
      </c>
      <c r="E54" s="206">
        <f t="shared" si="1"/>
        <v>2999.64</v>
      </c>
    </row>
    <row r="55">
      <c r="B55" s="207" t="s">
        <v>317</v>
      </c>
      <c r="C55" s="208">
        <v>60.71</v>
      </c>
      <c r="D55" s="205">
        <v>10.2</v>
      </c>
      <c r="E55" s="206">
        <f t="shared" si="1"/>
        <v>5099.64</v>
      </c>
    </row>
    <row r="56">
      <c r="B56" s="207" t="s">
        <v>318</v>
      </c>
      <c r="C56" s="208">
        <v>32.14</v>
      </c>
      <c r="D56" s="205">
        <v>2.6</v>
      </c>
      <c r="E56" s="206">
        <f t="shared" si="1"/>
        <v>2699.76</v>
      </c>
    </row>
    <row r="57">
      <c r="B57" s="207" t="s">
        <v>270</v>
      </c>
      <c r="C57" s="208">
        <v>32.14</v>
      </c>
      <c r="D57" s="205">
        <v>2.6</v>
      </c>
      <c r="E57" s="206">
        <f t="shared" si="1"/>
        <v>2699.76</v>
      </c>
    </row>
    <row r="58">
      <c r="B58" s="207" t="s">
        <v>266</v>
      </c>
      <c r="C58" s="208">
        <v>53.57</v>
      </c>
      <c r="D58" s="205">
        <v>3.8</v>
      </c>
      <c r="E58" s="206">
        <f t="shared" si="1"/>
        <v>4499.88</v>
      </c>
    </row>
    <row r="59">
      <c r="B59" s="207" t="s">
        <v>319</v>
      </c>
      <c r="C59" s="208">
        <v>28.57</v>
      </c>
      <c r="D59" s="205">
        <v>6.4</v>
      </c>
      <c r="E59" s="206">
        <f t="shared" si="1"/>
        <v>2399.88</v>
      </c>
    </row>
    <row r="60">
      <c r="B60" s="207" t="s">
        <v>59</v>
      </c>
      <c r="C60" s="208">
        <v>29.76</v>
      </c>
      <c r="D60" s="205">
        <v>1.9</v>
      </c>
      <c r="E60" s="206">
        <f t="shared" si="1"/>
        <v>2499.84</v>
      </c>
    </row>
    <row r="61">
      <c r="B61" s="207" t="s">
        <v>320</v>
      </c>
      <c r="C61" s="208">
        <v>53.57</v>
      </c>
      <c r="D61" s="205">
        <v>4.1</v>
      </c>
      <c r="E61" s="206">
        <f t="shared" si="1"/>
        <v>4499.88</v>
      </c>
    </row>
    <row r="62">
      <c r="B62" s="207" t="s">
        <v>321</v>
      </c>
      <c r="C62" s="208">
        <v>104.17</v>
      </c>
      <c r="D62" s="205">
        <v>18.9</v>
      </c>
      <c r="E62" s="206">
        <f t="shared" si="1"/>
        <v>8750.28</v>
      </c>
    </row>
    <row r="63">
      <c r="B63" s="207" t="s">
        <v>322</v>
      </c>
      <c r="C63" s="208">
        <v>107.02</v>
      </c>
      <c r="D63" s="205">
        <v>10.1</v>
      </c>
      <c r="E63" s="206">
        <f t="shared" si="1"/>
        <v>8989.68</v>
      </c>
    </row>
    <row r="64">
      <c r="B64" s="207" t="s">
        <v>323</v>
      </c>
      <c r="C64" s="208">
        <v>172.62</v>
      </c>
      <c r="D64" s="205">
        <v>26.5</v>
      </c>
      <c r="E64" s="206">
        <f t="shared" si="1"/>
        <v>14500.08</v>
      </c>
    </row>
    <row r="65">
      <c r="B65" s="207" t="s">
        <v>324</v>
      </c>
      <c r="C65" s="208">
        <v>166.67</v>
      </c>
      <c r="D65" s="205">
        <v>20.4</v>
      </c>
      <c r="E65" s="206">
        <f t="shared" si="1"/>
        <v>14000.28</v>
      </c>
    </row>
    <row r="66">
      <c r="B66" s="207" t="s">
        <v>325</v>
      </c>
      <c r="C66" s="208">
        <v>151.19</v>
      </c>
      <c r="D66" s="205">
        <v>33.7</v>
      </c>
      <c r="E66" s="206">
        <f t="shared" si="1"/>
        <v>12699.96</v>
      </c>
    </row>
    <row r="67">
      <c r="B67" s="207" t="s">
        <v>326</v>
      </c>
      <c r="C67" s="208">
        <v>139.88</v>
      </c>
      <c r="D67" s="205">
        <v>21.4</v>
      </c>
      <c r="E67" s="206">
        <f t="shared" si="1"/>
        <v>11749.92</v>
      </c>
    </row>
    <row r="68">
      <c r="B68" s="207" t="s">
        <v>327</v>
      </c>
      <c r="C68" s="208">
        <v>177.38</v>
      </c>
      <c r="D68" s="205">
        <v>28.2</v>
      </c>
      <c r="E68" s="206">
        <f t="shared" si="1"/>
        <v>14899.92</v>
      </c>
    </row>
    <row r="69">
      <c r="B69" s="207" t="s">
        <v>328</v>
      </c>
      <c r="C69" s="208">
        <v>166.67</v>
      </c>
      <c r="D69" s="205">
        <v>22.1</v>
      </c>
      <c r="E69" s="206">
        <f t="shared" si="1"/>
        <v>14000.28</v>
      </c>
    </row>
    <row r="70">
      <c r="B70" s="207" t="s">
        <v>329</v>
      </c>
      <c r="C70" s="208">
        <v>125.0</v>
      </c>
      <c r="D70" s="205">
        <v>19.2</v>
      </c>
      <c r="E70" s="206">
        <f t="shared" si="1"/>
        <v>10500</v>
      </c>
    </row>
    <row r="71">
      <c r="B71" s="207" t="s">
        <v>330</v>
      </c>
      <c r="C71" s="208">
        <v>119.05</v>
      </c>
      <c r="D71" s="205">
        <v>24.2</v>
      </c>
      <c r="E71" s="206">
        <f t="shared" si="1"/>
        <v>10000.2</v>
      </c>
    </row>
    <row r="72">
      <c r="B72" s="207" t="s">
        <v>331</v>
      </c>
      <c r="C72" s="208">
        <v>166.67</v>
      </c>
      <c r="D72" s="205">
        <v>25.7</v>
      </c>
      <c r="E72" s="206">
        <f t="shared" si="1"/>
        <v>14000.28</v>
      </c>
    </row>
    <row r="73">
      <c r="B73" s="207" t="s">
        <v>332</v>
      </c>
      <c r="C73" s="208">
        <v>153.45</v>
      </c>
      <c r="D73" s="205">
        <v>22.8</v>
      </c>
      <c r="E73" s="206">
        <f t="shared" si="1"/>
        <v>12889.8</v>
      </c>
    </row>
    <row r="74">
      <c r="B74" s="207" t="s">
        <v>333</v>
      </c>
      <c r="C74" s="208">
        <v>160.71</v>
      </c>
      <c r="D74" s="205">
        <v>20.2</v>
      </c>
      <c r="E74" s="206">
        <f t="shared" si="1"/>
        <v>13499.64</v>
      </c>
    </row>
    <row r="75">
      <c r="B75" s="207" t="s">
        <v>334</v>
      </c>
      <c r="C75" s="208">
        <v>125.0</v>
      </c>
      <c r="D75" s="205">
        <v>15.1</v>
      </c>
      <c r="E75" s="206">
        <f t="shared" si="1"/>
        <v>10500</v>
      </c>
    </row>
    <row r="76">
      <c r="B76" s="207" t="s">
        <v>335</v>
      </c>
      <c r="C76" s="208">
        <v>105.95</v>
      </c>
      <c r="D76" s="205">
        <v>10.7</v>
      </c>
      <c r="E76" s="206">
        <f t="shared" si="1"/>
        <v>8899.8</v>
      </c>
    </row>
    <row r="77">
      <c r="B77" s="203" t="s">
        <v>336</v>
      </c>
      <c r="C77" s="204">
        <v>130.95</v>
      </c>
      <c r="D77" s="205">
        <v>15.1</v>
      </c>
      <c r="E77" s="206">
        <f t="shared" si="1"/>
        <v>10999.8</v>
      </c>
    </row>
    <row r="78">
      <c r="B78" s="203" t="s">
        <v>337</v>
      </c>
      <c r="C78" s="204">
        <v>196.43</v>
      </c>
      <c r="D78" s="205">
        <v>14.6</v>
      </c>
      <c r="E78" s="206">
        <f t="shared" si="1"/>
        <v>16500.12</v>
      </c>
    </row>
    <row r="79">
      <c r="B79" s="207" t="s">
        <v>338</v>
      </c>
      <c r="C79" s="208">
        <v>190.48</v>
      </c>
      <c r="D79" s="205">
        <v>14.0</v>
      </c>
      <c r="E79" s="206">
        <f t="shared" si="1"/>
        <v>16000.32</v>
      </c>
    </row>
    <row r="80">
      <c r="B80" s="207" t="s">
        <v>339</v>
      </c>
      <c r="C80" s="209">
        <v>211.9</v>
      </c>
      <c r="D80" s="205">
        <v>16.9</v>
      </c>
      <c r="E80" s="206">
        <f t="shared" si="1"/>
        <v>17799.6</v>
      </c>
    </row>
    <row r="81">
      <c r="B81" s="207" t="s">
        <v>340</v>
      </c>
      <c r="C81" s="209">
        <v>39.29</v>
      </c>
      <c r="D81" s="205">
        <v>4.7</v>
      </c>
      <c r="E81" s="206">
        <f t="shared" si="1"/>
        <v>3300.36</v>
      </c>
    </row>
    <row r="82">
      <c r="B82" s="207" t="s">
        <v>341</v>
      </c>
      <c r="C82" s="209">
        <v>39.29</v>
      </c>
      <c r="D82" s="205">
        <v>4.7</v>
      </c>
      <c r="E82" s="206">
        <f t="shared" si="1"/>
        <v>3300.36</v>
      </c>
    </row>
    <row r="83">
      <c r="B83" s="207" t="s">
        <v>342</v>
      </c>
      <c r="C83" s="209">
        <v>52.38</v>
      </c>
      <c r="D83" s="205">
        <v>4.9</v>
      </c>
      <c r="E83" s="206">
        <f t="shared" si="1"/>
        <v>4399.92</v>
      </c>
    </row>
    <row r="84">
      <c r="B84" s="207" t="s">
        <v>343</v>
      </c>
      <c r="C84" s="209">
        <v>52.38</v>
      </c>
      <c r="D84" s="205">
        <v>4.9</v>
      </c>
      <c r="E84" s="206">
        <f t="shared" si="1"/>
        <v>4399.92</v>
      </c>
    </row>
    <row r="85">
      <c r="B85" s="207" t="s">
        <v>344</v>
      </c>
      <c r="C85" s="209">
        <v>89.29</v>
      </c>
      <c r="D85" s="205">
        <v>13.0</v>
      </c>
      <c r="E85" s="206">
        <f t="shared" si="1"/>
        <v>7500.36</v>
      </c>
    </row>
    <row r="86">
      <c r="B86" s="207" t="s">
        <v>345</v>
      </c>
      <c r="C86" s="209">
        <v>58.33</v>
      </c>
      <c r="D86" s="205">
        <v>3.9</v>
      </c>
      <c r="E86" s="206">
        <f t="shared" si="1"/>
        <v>4899.72</v>
      </c>
    </row>
    <row r="87">
      <c r="B87" s="207" t="s">
        <v>346</v>
      </c>
      <c r="C87" s="209">
        <v>58.33</v>
      </c>
      <c r="D87" s="205">
        <v>3.9</v>
      </c>
      <c r="E87" s="206">
        <f t="shared" si="1"/>
        <v>4899.72</v>
      </c>
    </row>
    <row r="88">
      <c r="B88" s="207" t="s">
        <v>347</v>
      </c>
      <c r="C88" s="209">
        <v>68.45</v>
      </c>
      <c r="D88" s="205">
        <v>13.8</v>
      </c>
      <c r="E88" s="206">
        <f t="shared" si="1"/>
        <v>5749.8</v>
      </c>
    </row>
    <row r="89">
      <c r="B89" s="207" t="s">
        <v>348</v>
      </c>
      <c r="C89" s="209">
        <v>68.45</v>
      </c>
      <c r="D89" s="205">
        <v>13.8</v>
      </c>
      <c r="E89" s="206">
        <f t="shared" si="1"/>
        <v>5749.8</v>
      </c>
    </row>
    <row r="90">
      <c r="B90" s="207" t="s">
        <v>349</v>
      </c>
      <c r="C90" s="209">
        <v>66.37</v>
      </c>
      <c r="D90" s="205">
        <v>4.9</v>
      </c>
      <c r="E90" s="206">
        <f t="shared" si="1"/>
        <v>5575.08</v>
      </c>
    </row>
    <row r="91">
      <c r="B91" s="207" t="s">
        <v>350</v>
      </c>
      <c r="C91" s="209">
        <v>75.0</v>
      </c>
      <c r="D91" s="205">
        <v>5.4</v>
      </c>
      <c r="E91" s="206">
        <f t="shared" si="1"/>
        <v>6300</v>
      </c>
    </row>
    <row r="92">
      <c r="B92" s="207" t="s">
        <v>351</v>
      </c>
      <c r="C92" s="209">
        <v>77.38</v>
      </c>
      <c r="D92" s="205">
        <v>5.6</v>
      </c>
      <c r="E92" s="206">
        <f t="shared" si="1"/>
        <v>6499.92</v>
      </c>
    </row>
    <row r="93">
      <c r="B93" s="207" t="s">
        <v>352</v>
      </c>
      <c r="C93" s="209">
        <v>77.38</v>
      </c>
      <c r="D93" s="205">
        <v>5.6</v>
      </c>
      <c r="E93" s="206">
        <f t="shared" si="1"/>
        <v>6499.92</v>
      </c>
    </row>
    <row r="94">
      <c r="B94" s="207" t="s">
        <v>353</v>
      </c>
      <c r="C94" s="209">
        <v>85.71</v>
      </c>
      <c r="D94" s="205">
        <v>11.0</v>
      </c>
      <c r="E94" s="206">
        <f t="shared" si="1"/>
        <v>7199.64</v>
      </c>
    </row>
    <row r="95">
      <c r="B95" s="210" t="s">
        <v>48</v>
      </c>
      <c r="C95" s="209">
        <v>19.64</v>
      </c>
      <c r="D95" s="205">
        <v>1.4</v>
      </c>
      <c r="E95" s="206">
        <f t="shared" si="1"/>
        <v>1649.76</v>
      </c>
    </row>
    <row r="96">
      <c r="B96" s="210" t="s">
        <v>49</v>
      </c>
      <c r="C96" s="209">
        <v>19.64</v>
      </c>
      <c r="D96" s="205">
        <v>1.4</v>
      </c>
      <c r="E96" s="206">
        <f t="shared" si="1"/>
        <v>1649.76</v>
      </c>
    </row>
    <row r="97">
      <c r="B97" s="210" t="s">
        <v>62</v>
      </c>
      <c r="C97" s="209">
        <v>14.29</v>
      </c>
      <c r="D97" s="205">
        <v>1.5</v>
      </c>
      <c r="E97" s="206">
        <f t="shared" si="1"/>
        <v>1200.36</v>
      </c>
    </row>
    <row r="98">
      <c r="B98" s="210" t="s">
        <v>56</v>
      </c>
      <c r="C98" s="209">
        <v>14.88</v>
      </c>
      <c r="D98" s="205">
        <v>2.9</v>
      </c>
      <c r="E98" s="206">
        <f t="shared" si="1"/>
        <v>1249.92</v>
      </c>
    </row>
    <row r="99">
      <c r="B99" s="210" t="s">
        <v>55</v>
      </c>
      <c r="C99" s="209">
        <v>17.26</v>
      </c>
      <c r="D99" s="205">
        <v>3.2</v>
      </c>
      <c r="E99" s="206">
        <f t="shared" si="1"/>
        <v>1449.84</v>
      </c>
    </row>
    <row r="100">
      <c r="B100" s="210" t="s">
        <v>60</v>
      </c>
      <c r="C100" s="209">
        <v>13.69</v>
      </c>
      <c r="D100" s="205">
        <v>0.7</v>
      </c>
      <c r="E100" s="206">
        <f t="shared" si="1"/>
        <v>1149.96</v>
      </c>
    </row>
    <row r="101">
      <c r="B101" s="210" t="s">
        <v>61</v>
      </c>
      <c r="C101" s="209">
        <v>13.69</v>
      </c>
      <c r="D101" s="205">
        <v>0.7</v>
      </c>
      <c r="E101" s="206">
        <f t="shared" si="1"/>
        <v>1149.96</v>
      </c>
    </row>
    <row r="102">
      <c r="B102" s="210" t="s">
        <v>57</v>
      </c>
      <c r="C102" s="209">
        <v>14.88</v>
      </c>
      <c r="D102" s="205">
        <v>0.9</v>
      </c>
      <c r="E102" s="206">
        <f t="shared" si="1"/>
        <v>1249.92</v>
      </c>
    </row>
    <row r="103">
      <c r="B103" s="210" t="s">
        <v>54</v>
      </c>
      <c r="C103" s="209">
        <v>14.88</v>
      </c>
      <c r="D103" s="205">
        <v>0.8</v>
      </c>
      <c r="E103" s="206">
        <f t="shared" si="1"/>
        <v>1249.92</v>
      </c>
      <c r="G103" s="211">
        <f>C103*84</f>
        <v>1249.92</v>
      </c>
    </row>
    <row r="104">
      <c r="B104" s="210" t="s">
        <v>354</v>
      </c>
      <c r="C104" s="209">
        <v>101.19</v>
      </c>
      <c r="D104" s="205">
        <v>13.4</v>
      </c>
      <c r="E104" s="206">
        <f t="shared" si="1"/>
        <v>8499.96</v>
      </c>
    </row>
    <row r="105">
      <c r="B105" s="210" t="s">
        <v>355</v>
      </c>
      <c r="C105" s="209">
        <v>101.19</v>
      </c>
      <c r="D105" s="205">
        <v>13.4</v>
      </c>
      <c r="E105" s="206">
        <f t="shared" si="1"/>
        <v>8499.96</v>
      </c>
    </row>
    <row r="106">
      <c r="B106" s="210" t="s">
        <v>356</v>
      </c>
      <c r="C106" s="209">
        <v>101.19</v>
      </c>
      <c r="D106" s="205">
        <v>13.4</v>
      </c>
      <c r="E106" s="206">
        <f t="shared" si="1"/>
        <v>8499.96</v>
      </c>
    </row>
    <row r="107">
      <c r="B107" s="210" t="s">
        <v>357</v>
      </c>
      <c r="C107" s="209">
        <v>107.14</v>
      </c>
      <c r="D107" s="205">
        <v>13.4</v>
      </c>
      <c r="E107" s="206">
        <f t="shared" si="1"/>
        <v>8999.76</v>
      </c>
    </row>
    <row r="108">
      <c r="B108" s="210" t="s">
        <v>358</v>
      </c>
      <c r="C108" s="209">
        <v>113.1</v>
      </c>
      <c r="D108" s="205">
        <v>16.2</v>
      </c>
      <c r="E108" s="206">
        <f t="shared" si="1"/>
        <v>9500.4</v>
      </c>
    </row>
    <row r="110">
      <c r="D110" s="70">
        <f>2200/14</f>
        <v>157.1428571</v>
      </c>
    </row>
  </sheetData>
  <autoFilter ref="$B$2:$E$108"/>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pane xSplit="2.0" topLeftCell="C1" activePane="topRight" state="frozen"/>
      <selection activeCell="D2" sqref="D2" pane="topRight"/>
    </sheetView>
  </sheetViews>
  <sheetFormatPr customHeight="1" defaultColWidth="12.63" defaultRowHeight="15.0"/>
  <cols>
    <col customWidth="1" min="1" max="1" width="7.25"/>
    <col customWidth="1" min="2" max="2" width="26.38"/>
    <col hidden="1" min="32" max="35" width="12.63"/>
  </cols>
  <sheetData>
    <row r="2">
      <c r="A2" s="6"/>
      <c r="B2" s="90"/>
      <c r="C2" s="90"/>
      <c r="D2" s="90"/>
      <c r="E2" s="90"/>
      <c r="F2" s="90"/>
      <c r="G2" s="6" t="s">
        <v>0</v>
      </c>
      <c r="H2" s="90"/>
      <c r="I2" s="90"/>
      <c r="J2" s="90"/>
      <c r="K2" s="90"/>
      <c r="L2" s="90"/>
      <c r="M2" s="90"/>
      <c r="N2" s="212" t="s">
        <v>183</v>
      </c>
      <c r="O2" s="90"/>
      <c r="P2" s="90"/>
      <c r="Q2" s="90"/>
      <c r="R2" s="212" t="s">
        <v>184</v>
      </c>
      <c r="S2" s="212" t="s">
        <v>185</v>
      </c>
      <c r="T2" s="90"/>
      <c r="U2" s="6"/>
      <c r="V2" s="90"/>
      <c r="W2" s="90"/>
      <c r="X2" s="6" t="s">
        <v>186</v>
      </c>
      <c r="Y2" s="90"/>
      <c r="Z2" s="90"/>
      <c r="AA2" s="90"/>
      <c r="AB2" s="90"/>
      <c r="AC2" s="90"/>
      <c r="AD2" s="90"/>
      <c r="AE2" s="90"/>
      <c r="AF2" s="90"/>
      <c r="AG2" s="90"/>
      <c r="AH2" s="90"/>
      <c r="AI2" s="90"/>
    </row>
    <row r="3">
      <c r="G3" s="100">
        <v>7.0</v>
      </c>
      <c r="J3" s="18"/>
      <c r="K3" s="18">
        <v>0.15</v>
      </c>
      <c r="M3" s="18"/>
      <c r="N3" s="19">
        <v>0.15</v>
      </c>
      <c r="O3" s="7"/>
      <c r="P3" s="7"/>
      <c r="R3" s="19">
        <v>0.25</v>
      </c>
      <c r="S3" s="213">
        <v>0.055</v>
      </c>
      <c r="U3" s="7"/>
      <c r="X3" s="3"/>
      <c r="Y3" s="3"/>
      <c r="Z3" s="3"/>
      <c r="AA3" s="3"/>
      <c r="AB3" s="3"/>
      <c r="AC3" s="3"/>
    </row>
    <row r="4" ht="61.5" customHeight="1">
      <c r="A4" s="90"/>
      <c r="B4" s="101" t="s">
        <v>3</v>
      </c>
      <c r="C4" s="101" t="s">
        <v>187</v>
      </c>
      <c r="D4" s="101"/>
      <c r="E4" s="101" t="s">
        <v>188</v>
      </c>
      <c r="F4" s="101" t="s">
        <v>189</v>
      </c>
      <c r="G4" s="101" t="s">
        <v>190</v>
      </c>
      <c r="H4" s="101" t="s">
        <v>191</v>
      </c>
      <c r="I4" s="101" t="s">
        <v>192</v>
      </c>
      <c r="J4" s="101" t="s">
        <v>193</v>
      </c>
      <c r="K4" s="101" t="s">
        <v>194</v>
      </c>
      <c r="L4" s="101" t="s">
        <v>195</v>
      </c>
      <c r="M4" s="101" t="s">
        <v>196</v>
      </c>
      <c r="N4" s="101" t="s">
        <v>197</v>
      </c>
      <c r="O4" s="101" t="s">
        <v>198</v>
      </c>
      <c r="P4" s="101" t="s">
        <v>199</v>
      </c>
      <c r="Q4" s="101" t="s">
        <v>200</v>
      </c>
      <c r="R4" s="101" t="s">
        <v>201</v>
      </c>
      <c r="S4" s="101" t="s">
        <v>202</v>
      </c>
      <c r="T4" s="101" t="s">
        <v>203</v>
      </c>
      <c r="U4" s="101" t="s">
        <v>204</v>
      </c>
      <c r="V4" s="101" t="s">
        <v>205</v>
      </c>
      <c r="W4" s="101" t="s">
        <v>206</v>
      </c>
      <c r="X4" s="101" t="s">
        <v>232</v>
      </c>
      <c r="Y4" s="101" t="s">
        <v>233</v>
      </c>
      <c r="Z4" s="101" t="s">
        <v>234</v>
      </c>
      <c r="AA4" s="101" t="s">
        <v>210</v>
      </c>
      <c r="AB4" s="101" t="s">
        <v>211</v>
      </c>
      <c r="AC4" s="101" t="s">
        <v>212</v>
      </c>
      <c r="AD4" s="101" t="s">
        <v>213</v>
      </c>
      <c r="AE4" s="101" t="s">
        <v>214</v>
      </c>
      <c r="AF4" s="101" t="s">
        <v>215</v>
      </c>
      <c r="AG4" s="101" t="s">
        <v>216</v>
      </c>
      <c r="AH4" s="101" t="s">
        <v>217</v>
      </c>
      <c r="AI4" s="101" t="s">
        <v>221</v>
      </c>
    </row>
    <row r="5">
      <c r="B5" s="102" t="s">
        <v>222</v>
      </c>
      <c r="C5" s="104" t="s">
        <v>223</v>
      </c>
      <c r="D5" s="104"/>
      <c r="E5" s="104">
        <v>19.64</v>
      </c>
      <c r="F5" s="105">
        <f t="shared" ref="F5:F6" si="4">23*6*18/12/12/12</f>
        <v>1.4375</v>
      </c>
      <c r="G5" s="104">
        <f t="shared" ref="G5:G19" si="5">F5*$G$3</f>
        <v>10.0625</v>
      </c>
      <c r="H5" s="118">
        <v>139.0</v>
      </c>
      <c r="I5" s="107">
        <v>26.0</v>
      </c>
      <c r="J5" s="108">
        <f t="shared" ref="J5:J19" si="6">H5*I5</f>
        <v>3614</v>
      </c>
      <c r="K5" s="109">
        <f t="shared" ref="K5:K19" si="7">$K$3</f>
        <v>0.15</v>
      </c>
      <c r="L5" s="110">
        <f t="shared" ref="L5:L19" si="8">rounddown(I5*(1-K5),0)</f>
        <v>22</v>
      </c>
      <c r="M5" s="108">
        <f t="shared" ref="M5:M19" si="9">L5*H5</f>
        <v>3058</v>
      </c>
      <c r="N5" s="108">
        <f t="shared" ref="N5:N19" si="10">M5*$N$3+3%*(I5-L5)*H5</f>
        <v>475.38</v>
      </c>
      <c r="O5" s="108">
        <v>16.45</v>
      </c>
      <c r="P5" s="108">
        <f t="shared" ref="P5:P19" si="11">O5*(I5)</f>
        <v>427.7</v>
      </c>
      <c r="Q5" s="108">
        <f t="shared" ref="Q5:Q19" si="12">M5-N5-P5</f>
        <v>2154.92</v>
      </c>
      <c r="R5" s="108">
        <f t="shared" ref="R5:R19" si="13">J5*$R$3</f>
        <v>903.5</v>
      </c>
      <c r="S5" s="108">
        <f t="shared" ref="S5:S19" si="14">J5*$S$3</f>
        <v>198.77</v>
      </c>
      <c r="T5" s="108">
        <f t="shared" ref="T5:T19" si="15">Q5-R5-S5</f>
        <v>1052.65</v>
      </c>
      <c r="U5" s="104">
        <f t="shared" ref="U5:U19" si="16">G5+E5</f>
        <v>29.7025</v>
      </c>
      <c r="V5" s="106">
        <f t="shared" ref="V5:V19" si="17">E5*(1.02)*(1.25)+G5</f>
        <v>35.1035</v>
      </c>
      <c r="W5" s="106">
        <f t="shared" ref="W5:W19" si="18">E5*(1.02)*(1.5)+G5</f>
        <v>40.1117</v>
      </c>
      <c r="X5" s="111">
        <f t="shared" ref="X5:Z5" si="1">$I5*U5</f>
        <v>772.265</v>
      </c>
      <c r="Y5" s="111">
        <f t="shared" si="1"/>
        <v>912.691</v>
      </c>
      <c r="Z5" s="112">
        <f t="shared" si="1"/>
        <v>1042.9042</v>
      </c>
      <c r="AA5" s="113">
        <f t="shared" ref="AA5:AC5" si="2">$T5-X5</f>
        <v>280.385</v>
      </c>
      <c r="AB5" s="113">
        <f t="shared" si="2"/>
        <v>139.959</v>
      </c>
      <c r="AC5" s="113">
        <f t="shared" si="2"/>
        <v>9.7458</v>
      </c>
      <c r="AD5" s="114">
        <f t="shared" ref="AD5:AF5" si="3">AA5/$M5</f>
        <v>0.09168901243</v>
      </c>
      <c r="AE5" s="114">
        <f t="shared" si="3"/>
        <v>0.04576814912</v>
      </c>
      <c r="AF5" s="114">
        <f t="shared" si="3"/>
        <v>0.003186984957</v>
      </c>
      <c r="AG5" s="115">
        <f t="shared" ref="AG5:AG10" si="22">AI5/AH5</f>
        <v>0.05714285714</v>
      </c>
      <c r="AH5" s="116">
        <v>35.0</v>
      </c>
      <c r="AI5" s="116">
        <v>2.0</v>
      </c>
    </row>
    <row r="6">
      <c r="B6" s="102" t="s">
        <v>224</v>
      </c>
      <c r="C6" s="104" t="s">
        <v>223</v>
      </c>
      <c r="D6" s="104"/>
      <c r="E6" s="104">
        <v>19.64</v>
      </c>
      <c r="F6" s="105">
        <f t="shared" si="4"/>
        <v>1.4375</v>
      </c>
      <c r="G6" s="104">
        <f t="shared" si="5"/>
        <v>10.0625</v>
      </c>
      <c r="H6" s="118">
        <v>139.0</v>
      </c>
      <c r="I6" s="107">
        <v>26.0</v>
      </c>
      <c r="J6" s="108">
        <f t="shared" si="6"/>
        <v>3614</v>
      </c>
      <c r="K6" s="109">
        <f t="shared" si="7"/>
        <v>0.15</v>
      </c>
      <c r="L6" s="110">
        <f t="shared" si="8"/>
        <v>22</v>
      </c>
      <c r="M6" s="108">
        <f t="shared" si="9"/>
        <v>3058</v>
      </c>
      <c r="N6" s="108">
        <f t="shared" si="10"/>
        <v>475.38</v>
      </c>
      <c r="O6" s="108">
        <v>16.45</v>
      </c>
      <c r="P6" s="108">
        <f t="shared" si="11"/>
        <v>427.7</v>
      </c>
      <c r="Q6" s="108">
        <f t="shared" si="12"/>
        <v>2154.92</v>
      </c>
      <c r="R6" s="108">
        <f t="shared" si="13"/>
        <v>903.5</v>
      </c>
      <c r="S6" s="108">
        <f t="shared" si="14"/>
        <v>198.77</v>
      </c>
      <c r="T6" s="108">
        <f t="shared" si="15"/>
        <v>1052.65</v>
      </c>
      <c r="U6" s="104">
        <f t="shared" si="16"/>
        <v>29.7025</v>
      </c>
      <c r="V6" s="106">
        <f t="shared" si="17"/>
        <v>35.1035</v>
      </c>
      <c r="W6" s="106">
        <f t="shared" si="18"/>
        <v>40.1117</v>
      </c>
      <c r="X6" s="111">
        <f t="shared" ref="X6:Z6" si="19">$I6*U6</f>
        <v>772.265</v>
      </c>
      <c r="Y6" s="111">
        <f t="shared" si="19"/>
        <v>912.691</v>
      </c>
      <c r="Z6" s="112">
        <f t="shared" si="19"/>
        <v>1042.9042</v>
      </c>
      <c r="AA6" s="113">
        <f t="shared" ref="AA6:AC6" si="20">$T6-X6</f>
        <v>280.385</v>
      </c>
      <c r="AB6" s="113">
        <f t="shared" si="20"/>
        <v>139.959</v>
      </c>
      <c r="AC6" s="113">
        <f t="shared" si="20"/>
        <v>9.7458</v>
      </c>
      <c r="AD6" s="114">
        <f t="shared" ref="AD6:AF6" si="21">AA6/$M6</f>
        <v>0.09168901243</v>
      </c>
      <c r="AE6" s="114">
        <f t="shared" si="21"/>
        <v>0.04576814912</v>
      </c>
      <c r="AF6" s="114">
        <f t="shared" si="21"/>
        <v>0.003186984957</v>
      </c>
      <c r="AG6" s="115">
        <f t="shared" si="22"/>
        <v>0.08108108108</v>
      </c>
      <c r="AH6" s="116">
        <v>37.0</v>
      </c>
      <c r="AI6" s="116">
        <v>3.0</v>
      </c>
    </row>
    <row r="7">
      <c r="B7" s="102" t="s">
        <v>225</v>
      </c>
      <c r="C7" s="214" t="s">
        <v>226</v>
      </c>
      <c r="D7" s="104"/>
      <c r="E7" s="104">
        <v>17.26</v>
      </c>
      <c r="F7" s="105">
        <f>14.5*14.5*26.5/12/12/12</f>
        <v>3.224320023</v>
      </c>
      <c r="G7" s="104">
        <f t="shared" si="5"/>
        <v>22.57024016</v>
      </c>
      <c r="H7" s="118">
        <v>154.99</v>
      </c>
      <c r="I7" s="107">
        <v>21.0</v>
      </c>
      <c r="J7" s="108">
        <f t="shared" si="6"/>
        <v>3254.79</v>
      </c>
      <c r="K7" s="109">
        <f t="shared" si="7"/>
        <v>0.15</v>
      </c>
      <c r="L7" s="110">
        <f t="shared" si="8"/>
        <v>17</v>
      </c>
      <c r="M7" s="108">
        <f t="shared" si="9"/>
        <v>2634.83</v>
      </c>
      <c r="N7" s="108">
        <f t="shared" si="10"/>
        <v>413.8233</v>
      </c>
      <c r="O7" s="108">
        <v>25.95</v>
      </c>
      <c r="P7" s="108">
        <f t="shared" si="11"/>
        <v>544.95</v>
      </c>
      <c r="Q7" s="108">
        <f t="shared" si="12"/>
        <v>1676.0567</v>
      </c>
      <c r="R7" s="108">
        <f t="shared" si="13"/>
        <v>813.6975</v>
      </c>
      <c r="S7" s="108">
        <f t="shared" si="14"/>
        <v>179.01345</v>
      </c>
      <c r="T7" s="108">
        <f t="shared" si="15"/>
        <v>683.34575</v>
      </c>
      <c r="U7" s="104">
        <f t="shared" si="16"/>
        <v>39.83024016</v>
      </c>
      <c r="V7" s="106">
        <f t="shared" si="17"/>
        <v>44.57674016</v>
      </c>
      <c r="W7" s="106">
        <f t="shared" si="18"/>
        <v>48.97804016</v>
      </c>
      <c r="X7" s="111">
        <f t="shared" ref="X7:Z7" si="23">$I7*U7</f>
        <v>836.4350434</v>
      </c>
      <c r="Y7" s="111">
        <f t="shared" si="23"/>
        <v>936.1115434</v>
      </c>
      <c r="Z7" s="112">
        <f t="shared" si="23"/>
        <v>1028.538843</v>
      </c>
      <c r="AA7" s="113">
        <f t="shared" ref="AA7:AC7" si="24">$T7-X7</f>
        <v>-153.0892934</v>
      </c>
      <c r="AB7" s="113">
        <f t="shared" si="24"/>
        <v>-252.7657934</v>
      </c>
      <c r="AC7" s="113">
        <f t="shared" si="24"/>
        <v>-345.1930934</v>
      </c>
      <c r="AD7" s="114">
        <f t="shared" ref="AD7:AF7" si="25">AA7/$M7</f>
        <v>-0.05810215209</v>
      </c>
      <c r="AE7" s="114">
        <f t="shared" si="25"/>
        <v>-0.0959324865</v>
      </c>
      <c r="AF7" s="114">
        <f t="shared" si="25"/>
        <v>-0.1310115239</v>
      </c>
      <c r="AG7" s="115">
        <f t="shared" si="22"/>
        <v>0.1369863014</v>
      </c>
      <c r="AH7" s="116">
        <v>73.0</v>
      </c>
      <c r="AI7" s="116">
        <v>10.0</v>
      </c>
    </row>
    <row r="8">
      <c r="B8" s="102" t="s">
        <v>227</v>
      </c>
      <c r="C8" s="214" t="s">
        <v>226</v>
      </c>
      <c r="D8" s="104"/>
      <c r="E8" s="104">
        <v>14.88</v>
      </c>
      <c r="F8" s="105">
        <f>14*14*26/12/12/12</f>
        <v>2.949074074</v>
      </c>
      <c r="G8" s="104">
        <f t="shared" si="5"/>
        <v>20.64351852</v>
      </c>
      <c r="H8" s="106">
        <v>139.99</v>
      </c>
      <c r="I8" s="107">
        <v>16.0</v>
      </c>
      <c r="J8" s="108">
        <f t="shared" si="6"/>
        <v>2239.84</v>
      </c>
      <c r="K8" s="109">
        <f t="shared" si="7"/>
        <v>0.15</v>
      </c>
      <c r="L8" s="110">
        <f t="shared" si="8"/>
        <v>13</v>
      </c>
      <c r="M8" s="108">
        <f t="shared" si="9"/>
        <v>1819.87</v>
      </c>
      <c r="N8" s="108">
        <f t="shared" si="10"/>
        <v>285.5796</v>
      </c>
      <c r="O8" s="108">
        <v>24.43</v>
      </c>
      <c r="P8" s="108">
        <f t="shared" si="11"/>
        <v>390.88</v>
      </c>
      <c r="Q8" s="108">
        <f t="shared" si="12"/>
        <v>1143.4104</v>
      </c>
      <c r="R8" s="108">
        <f t="shared" si="13"/>
        <v>559.96</v>
      </c>
      <c r="S8" s="108">
        <f t="shared" si="14"/>
        <v>123.1912</v>
      </c>
      <c r="T8" s="108">
        <f t="shared" si="15"/>
        <v>460.2592</v>
      </c>
      <c r="U8" s="104">
        <f t="shared" si="16"/>
        <v>35.52351852</v>
      </c>
      <c r="V8" s="106">
        <f t="shared" si="17"/>
        <v>39.61551852</v>
      </c>
      <c r="W8" s="106">
        <f t="shared" si="18"/>
        <v>43.40991852</v>
      </c>
      <c r="X8" s="111">
        <f t="shared" ref="X8:Z8" si="26">$I8*U8</f>
        <v>568.3762963</v>
      </c>
      <c r="Y8" s="111">
        <f t="shared" si="26"/>
        <v>633.8482963</v>
      </c>
      <c r="Z8" s="112">
        <f t="shared" si="26"/>
        <v>694.5586963</v>
      </c>
      <c r="AA8" s="113">
        <f t="shared" ref="AA8:AC8" si="27">$T8-X8</f>
        <v>-108.1170963</v>
      </c>
      <c r="AB8" s="113">
        <f t="shared" si="27"/>
        <v>-173.5890963</v>
      </c>
      <c r="AC8" s="113">
        <f t="shared" si="27"/>
        <v>-234.2994963</v>
      </c>
      <c r="AD8" s="114">
        <f t="shared" ref="AD8:AF8" si="28">AA8/$M8</f>
        <v>-0.05940924148</v>
      </c>
      <c r="AE8" s="114">
        <f t="shared" si="28"/>
        <v>-0.09538543758</v>
      </c>
      <c r="AF8" s="114">
        <f t="shared" si="28"/>
        <v>-0.1287451831</v>
      </c>
      <c r="AG8" s="115">
        <f t="shared" si="22"/>
        <v>0.2051282051</v>
      </c>
      <c r="AH8" s="116">
        <v>39.0</v>
      </c>
      <c r="AI8" s="116">
        <v>8.0</v>
      </c>
    </row>
    <row r="9">
      <c r="B9" s="102" t="s">
        <v>228</v>
      </c>
      <c r="C9" s="104" t="s">
        <v>223</v>
      </c>
      <c r="D9" s="104"/>
      <c r="E9" s="104">
        <v>51.79</v>
      </c>
      <c r="F9" s="105">
        <f>17.5*19.5*14.5/12/12/12</f>
        <v>2.863498264</v>
      </c>
      <c r="G9" s="104">
        <f t="shared" si="5"/>
        <v>20.04448785</v>
      </c>
      <c r="H9" s="118">
        <v>279.0</v>
      </c>
      <c r="I9" s="107">
        <v>10.0</v>
      </c>
      <c r="J9" s="108">
        <f t="shared" si="6"/>
        <v>2790</v>
      </c>
      <c r="K9" s="109">
        <f t="shared" si="7"/>
        <v>0.15</v>
      </c>
      <c r="L9" s="110">
        <f t="shared" si="8"/>
        <v>8</v>
      </c>
      <c r="M9" s="108">
        <f t="shared" si="9"/>
        <v>2232</v>
      </c>
      <c r="N9" s="108">
        <f t="shared" si="10"/>
        <v>351.54</v>
      </c>
      <c r="O9" s="108">
        <v>21.39</v>
      </c>
      <c r="P9" s="108">
        <f t="shared" si="11"/>
        <v>213.9</v>
      </c>
      <c r="Q9" s="108">
        <f t="shared" si="12"/>
        <v>1666.56</v>
      </c>
      <c r="R9" s="108">
        <f t="shared" si="13"/>
        <v>697.5</v>
      </c>
      <c r="S9" s="108">
        <f t="shared" si="14"/>
        <v>153.45</v>
      </c>
      <c r="T9" s="108">
        <f t="shared" si="15"/>
        <v>815.61</v>
      </c>
      <c r="U9" s="104">
        <f t="shared" si="16"/>
        <v>71.83448785</v>
      </c>
      <c r="V9" s="106">
        <f t="shared" si="17"/>
        <v>86.07673785</v>
      </c>
      <c r="W9" s="106">
        <f t="shared" si="18"/>
        <v>99.28318785</v>
      </c>
      <c r="X9" s="111">
        <f t="shared" ref="X9:Z9" si="29">$I9*U9</f>
        <v>718.3448785</v>
      </c>
      <c r="Y9" s="111">
        <f t="shared" si="29"/>
        <v>860.7673785</v>
      </c>
      <c r="Z9" s="112">
        <f t="shared" si="29"/>
        <v>992.8318785</v>
      </c>
      <c r="AA9" s="113">
        <f t="shared" ref="AA9:AC9" si="30">$T9-X9</f>
        <v>97.26512153</v>
      </c>
      <c r="AB9" s="113">
        <f t="shared" si="30"/>
        <v>-45.15737847</v>
      </c>
      <c r="AC9" s="113">
        <f t="shared" si="30"/>
        <v>-177.2218785</v>
      </c>
      <c r="AD9" s="114">
        <f t="shared" ref="AD9:AF9" si="31">AA9/$M9</f>
        <v>0.04357756341</v>
      </c>
      <c r="AE9" s="114">
        <f t="shared" si="31"/>
        <v>-0.02023180039</v>
      </c>
      <c r="AF9" s="114">
        <f t="shared" si="31"/>
        <v>-0.07940048319</v>
      </c>
      <c r="AG9" s="115">
        <f t="shared" si="22"/>
        <v>0.3076923077</v>
      </c>
      <c r="AH9" s="116">
        <v>39.0</v>
      </c>
      <c r="AI9" s="116">
        <v>12.0</v>
      </c>
    </row>
    <row r="10">
      <c r="B10" s="102" t="s">
        <v>229</v>
      </c>
      <c r="C10" s="104" t="s">
        <v>223</v>
      </c>
      <c r="D10" s="104"/>
      <c r="E10" s="104">
        <v>14.88</v>
      </c>
      <c r="F10" s="105">
        <f>14.5*15*6/12/12/12</f>
        <v>0.7552083333</v>
      </c>
      <c r="G10" s="104">
        <f t="shared" si="5"/>
        <v>5.286458333</v>
      </c>
      <c r="H10" s="106">
        <v>99.99</v>
      </c>
      <c r="I10" s="107">
        <v>18.0</v>
      </c>
      <c r="J10" s="108">
        <f t="shared" si="6"/>
        <v>1799.82</v>
      </c>
      <c r="K10" s="109">
        <f t="shared" si="7"/>
        <v>0.15</v>
      </c>
      <c r="L10" s="110">
        <f t="shared" si="8"/>
        <v>15</v>
      </c>
      <c r="M10" s="108">
        <f t="shared" si="9"/>
        <v>1499.85</v>
      </c>
      <c r="N10" s="108">
        <f t="shared" si="10"/>
        <v>233.9766</v>
      </c>
      <c r="O10" s="108">
        <v>11.71</v>
      </c>
      <c r="P10" s="108">
        <f t="shared" si="11"/>
        <v>210.78</v>
      </c>
      <c r="Q10" s="108">
        <f t="shared" si="12"/>
        <v>1055.0934</v>
      </c>
      <c r="R10" s="108">
        <f t="shared" si="13"/>
        <v>449.955</v>
      </c>
      <c r="S10" s="108">
        <f t="shared" si="14"/>
        <v>98.9901</v>
      </c>
      <c r="T10" s="108">
        <f t="shared" si="15"/>
        <v>506.1483</v>
      </c>
      <c r="U10" s="104">
        <f t="shared" si="16"/>
        <v>20.16645833</v>
      </c>
      <c r="V10" s="106">
        <f t="shared" si="17"/>
        <v>24.25845833</v>
      </c>
      <c r="W10" s="106">
        <f t="shared" si="18"/>
        <v>28.05285833</v>
      </c>
      <c r="X10" s="111">
        <f t="shared" ref="X10:Z10" si="32">$I10*U10</f>
        <v>362.99625</v>
      </c>
      <c r="Y10" s="111">
        <f t="shared" si="32"/>
        <v>436.65225</v>
      </c>
      <c r="Z10" s="112">
        <f t="shared" si="32"/>
        <v>504.95145</v>
      </c>
      <c r="AA10" s="113">
        <f t="shared" ref="AA10:AC10" si="33">$T10-X10</f>
        <v>143.15205</v>
      </c>
      <c r="AB10" s="113">
        <f t="shared" si="33"/>
        <v>69.49605</v>
      </c>
      <c r="AC10" s="113">
        <f t="shared" si="33"/>
        <v>1.19685</v>
      </c>
      <c r="AD10" s="114">
        <f t="shared" ref="AD10:AF10" si="34">AA10/$M10</f>
        <v>0.09544424442</v>
      </c>
      <c r="AE10" s="114">
        <f t="shared" si="34"/>
        <v>0.04633533353</v>
      </c>
      <c r="AF10" s="114">
        <f t="shared" si="34"/>
        <v>0.000797979798</v>
      </c>
      <c r="AG10" s="115">
        <f t="shared" si="22"/>
        <v>0.1071428571</v>
      </c>
      <c r="AH10" s="116">
        <v>56.0</v>
      </c>
      <c r="AI10" s="116">
        <v>6.0</v>
      </c>
    </row>
    <row r="11">
      <c r="A11" s="7"/>
      <c r="B11" s="7" t="s">
        <v>50</v>
      </c>
      <c r="C11" s="214" t="s">
        <v>226</v>
      </c>
      <c r="D11" s="214">
        <v>4350.0</v>
      </c>
      <c r="E11" s="111">
        <f t="shared" ref="E11:E19" si="38">D11/84</f>
        <v>51.78571429</v>
      </c>
      <c r="F11" s="165">
        <v>2.9</v>
      </c>
      <c r="G11" s="104">
        <f t="shared" si="5"/>
        <v>20.3</v>
      </c>
      <c r="H11" s="118">
        <v>279.99</v>
      </c>
      <c r="I11" s="165">
        <v>20.0</v>
      </c>
      <c r="J11" s="108">
        <f t="shared" si="6"/>
        <v>5599.8</v>
      </c>
      <c r="K11" s="109">
        <f t="shared" si="7"/>
        <v>0.15</v>
      </c>
      <c r="L11" s="110">
        <f t="shared" si="8"/>
        <v>17</v>
      </c>
      <c r="M11" s="108">
        <f t="shared" si="9"/>
        <v>4759.83</v>
      </c>
      <c r="N11" s="108">
        <f t="shared" si="10"/>
        <v>739.1736</v>
      </c>
      <c r="O11" s="108">
        <v>21.29</v>
      </c>
      <c r="P11" s="108">
        <f t="shared" si="11"/>
        <v>425.8</v>
      </c>
      <c r="Q11" s="108">
        <f t="shared" si="12"/>
        <v>3594.8564</v>
      </c>
      <c r="R11" s="108">
        <f t="shared" si="13"/>
        <v>1399.95</v>
      </c>
      <c r="S11" s="108">
        <f t="shared" si="14"/>
        <v>307.989</v>
      </c>
      <c r="T11" s="108">
        <f t="shared" si="15"/>
        <v>1886.9174</v>
      </c>
      <c r="U11" s="104">
        <f t="shared" si="16"/>
        <v>72.08571429</v>
      </c>
      <c r="V11" s="106">
        <f t="shared" si="17"/>
        <v>86.32678571</v>
      </c>
      <c r="W11" s="106">
        <f t="shared" si="18"/>
        <v>99.53214286</v>
      </c>
      <c r="X11" s="111">
        <f t="shared" ref="X11:Z11" si="35">$I11*U11</f>
        <v>1441.714286</v>
      </c>
      <c r="Y11" s="111">
        <f t="shared" si="35"/>
        <v>1726.535714</v>
      </c>
      <c r="Z11" s="112">
        <f t="shared" si="35"/>
        <v>1990.642857</v>
      </c>
      <c r="AA11" s="113">
        <f t="shared" ref="AA11:AC11" si="36">$T11-X11</f>
        <v>445.2031143</v>
      </c>
      <c r="AB11" s="113">
        <f t="shared" si="36"/>
        <v>160.3816857</v>
      </c>
      <c r="AC11" s="113">
        <f t="shared" si="36"/>
        <v>-103.7254571</v>
      </c>
      <c r="AD11" s="114">
        <f t="shared" ref="AD11:AF11" si="37">AA11/$M11</f>
        <v>0.09353340651</v>
      </c>
      <c r="AE11" s="114">
        <f t="shared" si="37"/>
        <v>0.03369483484</v>
      </c>
      <c r="AF11" s="114">
        <f t="shared" si="37"/>
        <v>-0.0217918407</v>
      </c>
      <c r="AG11" s="115"/>
      <c r="AH11" s="127"/>
      <c r="AI11" s="127"/>
    </row>
    <row r="12">
      <c r="A12" s="7"/>
      <c r="B12" s="7" t="s">
        <v>51</v>
      </c>
      <c r="C12" s="214" t="s">
        <v>226</v>
      </c>
      <c r="D12" s="214">
        <v>4350.0</v>
      </c>
      <c r="E12" s="111">
        <f t="shared" si="38"/>
        <v>51.78571429</v>
      </c>
      <c r="F12" s="165">
        <v>2.9</v>
      </c>
      <c r="G12" s="104">
        <f t="shared" si="5"/>
        <v>20.3</v>
      </c>
      <c r="H12" s="118">
        <v>279.99</v>
      </c>
      <c r="I12" s="165">
        <v>20.0</v>
      </c>
      <c r="J12" s="108">
        <f t="shared" si="6"/>
        <v>5599.8</v>
      </c>
      <c r="K12" s="109">
        <f t="shared" si="7"/>
        <v>0.15</v>
      </c>
      <c r="L12" s="110">
        <f t="shared" si="8"/>
        <v>17</v>
      </c>
      <c r="M12" s="108">
        <f t="shared" si="9"/>
        <v>4759.83</v>
      </c>
      <c r="N12" s="108">
        <f t="shared" si="10"/>
        <v>739.1736</v>
      </c>
      <c r="O12" s="108">
        <v>22.91</v>
      </c>
      <c r="P12" s="108">
        <f t="shared" si="11"/>
        <v>458.2</v>
      </c>
      <c r="Q12" s="108">
        <f t="shared" si="12"/>
        <v>3562.4564</v>
      </c>
      <c r="R12" s="108">
        <f t="shared" si="13"/>
        <v>1399.95</v>
      </c>
      <c r="S12" s="108">
        <f t="shared" si="14"/>
        <v>307.989</v>
      </c>
      <c r="T12" s="108">
        <f t="shared" si="15"/>
        <v>1854.5174</v>
      </c>
      <c r="U12" s="104">
        <f t="shared" si="16"/>
        <v>72.08571429</v>
      </c>
      <c r="V12" s="106">
        <f t="shared" si="17"/>
        <v>86.32678571</v>
      </c>
      <c r="W12" s="106">
        <f t="shared" si="18"/>
        <v>99.53214286</v>
      </c>
      <c r="X12" s="111">
        <f t="shared" ref="X12:Z12" si="39">$I12*U12</f>
        <v>1441.714286</v>
      </c>
      <c r="Y12" s="111">
        <f t="shared" si="39"/>
        <v>1726.535714</v>
      </c>
      <c r="Z12" s="112">
        <f t="shared" si="39"/>
        <v>1990.642857</v>
      </c>
      <c r="AA12" s="113">
        <f t="shared" ref="AA12:AC12" si="40">$T12-X12</f>
        <v>412.8031143</v>
      </c>
      <c r="AB12" s="113">
        <f t="shared" si="40"/>
        <v>127.9816857</v>
      </c>
      <c r="AC12" s="113">
        <f t="shared" si="40"/>
        <v>-136.1254571</v>
      </c>
      <c r="AD12" s="114">
        <f t="shared" ref="AD12:AF12" si="41">AA12/$M12</f>
        <v>0.08672644071</v>
      </c>
      <c r="AE12" s="114">
        <f t="shared" si="41"/>
        <v>0.02688786904</v>
      </c>
      <c r="AF12" s="114">
        <f t="shared" si="41"/>
        <v>-0.0285988065</v>
      </c>
      <c r="AG12" s="115"/>
      <c r="AH12" s="127"/>
      <c r="AI12" s="127"/>
    </row>
    <row r="13">
      <c r="B13" s="7" t="s">
        <v>64</v>
      </c>
      <c r="C13" s="214" t="s">
        <v>226</v>
      </c>
      <c r="D13" s="214">
        <v>3887.0</v>
      </c>
      <c r="E13" s="111">
        <f t="shared" si="38"/>
        <v>46.27380952</v>
      </c>
      <c r="F13" s="165">
        <v>4.01</v>
      </c>
      <c r="G13" s="104">
        <f t="shared" si="5"/>
        <v>28.07</v>
      </c>
      <c r="H13" s="118">
        <v>309.99</v>
      </c>
      <c r="I13" s="165">
        <v>20.0</v>
      </c>
      <c r="J13" s="108">
        <f t="shared" si="6"/>
        <v>6199.8</v>
      </c>
      <c r="K13" s="109">
        <f t="shared" si="7"/>
        <v>0.15</v>
      </c>
      <c r="L13" s="110">
        <f t="shared" si="8"/>
        <v>17</v>
      </c>
      <c r="M13" s="108">
        <f t="shared" si="9"/>
        <v>5269.83</v>
      </c>
      <c r="N13" s="108">
        <f t="shared" si="10"/>
        <v>818.3736</v>
      </c>
      <c r="O13" s="108">
        <v>28.23</v>
      </c>
      <c r="P13" s="108">
        <f t="shared" si="11"/>
        <v>564.6</v>
      </c>
      <c r="Q13" s="108">
        <f t="shared" si="12"/>
        <v>3886.8564</v>
      </c>
      <c r="R13" s="108">
        <f t="shared" si="13"/>
        <v>1549.95</v>
      </c>
      <c r="S13" s="108">
        <f t="shared" si="14"/>
        <v>340.989</v>
      </c>
      <c r="T13" s="108">
        <f t="shared" si="15"/>
        <v>1995.9174</v>
      </c>
      <c r="U13" s="104">
        <f t="shared" si="16"/>
        <v>74.34380952</v>
      </c>
      <c r="V13" s="106">
        <f t="shared" si="17"/>
        <v>87.06910714</v>
      </c>
      <c r="W13" s="106">
        <f t="shared" si="18"/>
        <v>98.86892857</v>
      </c>
      <c r="X13" s="111">
        <f t="shared" ref="X13:Z13" si="42">$I13*U13</f>
        <v>1486.87619</v>
      </c>
      <c r="Y13" s="111">
        <f t="shared" si="42"/>
        <v>1741.382143</v>
      </c>
      <c r="Z13" s="112">
        <f t="shared" si="42"/>
        <v>1977.378571</v>
      </c>
      <c r="AA13" s="113">
        <f t="shared" ref="AA13:AC13" si="43">$T13-X13</f>
        <v>509.0412095</v>
      </c>
      <c r="AB13" s="113">
        <f t="shared" si="43"/>
        <v>254.5352571</v>
      </c>
      <c r="AC13" s="113">
        <f t="shared" si="43"/>
        <v>18.53882857</v>
      </c>
      <c r="AD13" s="114">
        <f t="shared" ref="AD13:AF13" si="44">AA13/$M13</f>
        <v>0.09659537585</v>
      </c>
      <c r="AE13" s="114">
        <f t="shared" si="44"/>
        <v>0.04830046835</v>
      </c>
      <c r="AF13" s="114">
        <f t="shared" si="44"/>
        <v>0.003517917764</v>
      </c>
      <c r="AG13" s="115"/>
      <c r="AH13" s="127"/>
      <c r="AI13" s="127"/>
    </row>
    <row r="14">
      <c r="B14" s="7" t="s">
        <v>359</v>
      </c>
      <c r="C14" s="214" t="s">
        <v>226</v>
      </c>
      <c r="D14" s="214">
        <v>4200.0</v>
      </c>
      <c r="E14" s="111">
        <f t="shared" si="38"/>
        <v>50</v>
      </c>
      <c r="F14" s="165">
        <v>5.46</v>
      </c>
      <c r="G14" s="104">
        <f t="shared" si="5"/>
        <v>38.22</v>
      </c>
      <c r="H14" s="118">
        <v>419.99</v>
      </c>
      <c r="I14" s="165">
        <v>20.0</v>
      </c>
      <c r="J14" s="108">
        <f t="shared" si="6"/>
        <v>8399.8</v>
      </c>
      <c r="K14" s="109">
        <f t="shared" si="7"/>
        <v>0.15</v>
      </c>
      <c r="L14" s="110">
        <f t="shared" si="8"/>
        <v>17</v>
      </c>
      <c r="M14" s="108">
        <f t="shared" si="9"/>
        <v>7139.83</v>
      </c>
      <c r="N14" s="108">
        <f t="shared" si="10"/>
        <v>1108.7736</v>
      </c>
      <c r="O14" s="108">
        <v>56.31</v>
      </c>
      <c r="P14" s="108">
        <f t="shared" si="11"/>
        <v>1126.2</v>
      </c>
      <c r="Q14" s="108">
        <f t="shared" si="12"/>
        <v>4904.8564</v>
      </c>
      <c r="R14" s="108">
        <f t="shared" si="13"/>
        <v>2099.95</v>
      </c>
      <c r="S14" s="108">
        <f t="shared" si="14"/>
        <v>461.989</v>
      </c>
      <c r="T14" s="108">
        <f t="shared" si="15"/>
        <v>2342.9174</v>
      </c>
      <c r="U14" s="104">
        <f t="shared" si="16"/>
        <v>88.22</v>
      </c>
      <c r="V14" s="106">
        <f t="shared" si="17"/>
        <v>101.97</v>
      </c>
      <c r="W14" s="106">
        <f t="shared" si="18"/>
        <v>114.72</v>
      </c>
      <c r="X14" s="111">
        <f t="shared" ref="X14:Z14" si="45">$I14*U14</f>
        <v>1764.4</v>
      </c>
      <c r="Y14" s="111">
        <f t="shared" si="45"/>
        <v>2039.4</v>
      </c>
      <c r="Z14" s="112">
        <f t="shared" si="45"/>
        <v>2294.4</v>
      </c>
      <c r="AA14" s="113">
        <f t="shared" ref="AA14:AC14" si="46">$T14-X14</f>
        <v>578.5174</v>
      </c>
      <c r="AB14" s="113">
        <f t="shared" si="46"/>
        <v>303.5174</v>
      </c>
      <c r="AC14" s="113">
        <f t="shared" si="46"/>
        <v>48.5174</v>
      </c>
      <c r="AD14" s="114">
        <f t="shared" ref="AD14:AF14" si="47">AA14/$M14</f>
        <v>0.08102677515</v>
      </c>
      <c r="AE14" s="114">
        <f t="shared" si="47"/>
        <v>0.04251045193</v>
      </c>
      <c r="AF14" s="114">
        <f t="shared" si="47"/>
        <v>0.006795315855</v>
      </c>
      <c r="AG14" s="115"/>
      <c r="AH14" s="127"/>
      <c r="AI14" s="127"/>
    </row>
    <row r="15">
      <c r="B15" s="7" t="s">
        <v>46</v>
      </c>
      <c r="C15" s="214" t="s">
        <v>226</v>
      </c>
      <c r="D15" s="214">
        <v>2300.0</v>
      </c>
      <c r="E15" s="111">
        <f t="shared" si="38"/>
        <v>27.38095238</v>
      </c>
      <c r="F15" s="165">
        <v>4.59</v>
      </c>
      <c r="G15" s="104">
        <f t="shared" si="5"/>
        <v>32.13</v>
      </c>
      <c r="H15" s="118">
        <v>279.99</v>
      </c>
      <c r="I15" s="165">
        <v>20.0</v>
      </c>
      <c r="J15" s="108">
        <f t="shared" si="6"/>
        <v>5599.8</v>
      </c>
      <c r="K15" s="109">
        <f t="shared" si="7"/>
        <v>0.15</v>
      </c>
      <c r="L15" s="110">
        <f t="shared" si="8"/>
        <v>17</v>
      </c>
      <c r="M15" s="108">
        <f t="shared" si="9"/>
        <v>4759.83</v>
      </c>
      <c r="N15" s="108">
        <f t="shared" si="10"/>
        <v>739.1736</v>
      </c>
      <c r="O15" s="108">
        <v>42.37</v>
      </c>
      <c r="P15" s="108">
        <f t="shared" si="11"/>
        <v>847.4</v>
      </c>
      <c r="Q15" s="108">
        <f t="shared" si="12"/>
        <v>3173.2564</v>
      </c>
      <c r="R15" s="108">
        <f t="shared" si="13"/>
        <v>1399.95</v>
      </c>
      <c r="S15" s="108">
        <f t="shared" si="14"/>
        <v>307.989</v>
      </c>
      <c r="T15" s="108">
        <f t="shared" si="15"/>
        <v>1465.3174</v>
      </c>
      <c r="U15" s="104">
        <f t="shared" si="16"/>
        <v>59.51095238</v>
      </c>
      <c r="V15" s="106">
        <f t="shared" si="17"/>
        <v>67.04071429</v>
      </c>
      <c r="W15" s="106">
        <f t="shared" si="18"/>
        <v>74.02285714</v>
      </c>
      <c r="X15" s="111">
        <f t="shared" ref="X15:Z15" si="48">$I15*U15</f>
        <v>1190.219048</v>
      </c>
      <c r="Y15" s="111">
        <f t="shared" si="48"/>
        <v>1340.814286</v>
      </c>
      <c r="Z15" s="112">
        <f t="shared" si="48"/>
        <v>1480.457143</v>
      </c>
      <c r="AA15" s="113">
        <f t="shared" ref="AA15:AC15" si="49">$T15-X15</f>
        <v>275.0983524</v>
      </c>
      <c r="AB15" s="113">
        <f t="shared" si="49"/>
        <v>124.5031143</v>
      </c>
      <c r="AC15" s="113">
        <f t="shared" si="49"/>
        <v>-15.13974286</v>
      </c>
      <c r="AD15" s="114">
        <f t="shared" ref="AD15:AF15" si="50">AA15/$M15</f>
        <v>0.05779583565</v>
      </c>
      <c r="AE15" s="114">
        <f t="shared" si="50"/>
        <v>0.02615705063</v>
      </c>
      <c r="AF15" s="114">
        <f t="shared" si="50"/>
        <v>-0.003180731845</v>
      </c>
      <c r="AG15" s="115"/>
      <c r="AH15" s="127"/>
      <c r="AI15" s="127"/>
    </row>
    <row r="16">
      <c r="B16" s="7" t="s">
        <v>52</v>
      </c>
      <c r="C16" s="214" t="s">
        <v>226</v>
      </c>
      <c r="D16" s="214">
        <v>2240.0</v>
      </c>
      <c r="E16" s="111">
        <f t="shared" si="38"/>
        <v>26.66666667</v>
      </c>
      <c r="F16" s="165">
        <v>2.85</v>
      </c>
      <c r="G16" s="104">
        <f t="shared" si="5"/>
        <v>19.95</v>
      </c>
      <c r="H16" s="118">
        <v>199.99</v>
      </c>
      <c r="I16" s="165">
        <v>20.0</v>
      </c>
      <c r="J16" s="108">
        <f t="shared" si="6"/>
        <v>3999.8</v>
      </c>
      <c r="K16" s="109">
        <f t="shared" si="7"/>
        <v>0.15</v>
      </c>
      <c r="L16" s="110">
        <f t="shared" si="8"/>
        <v>17</v>
      </c>
      <c r="M16" s="108">
        <f t="shared" si="9"/>
        <v>3399.83</v>
      </c>
      <c r="N16" s="108">
        <f t="shared" si="10"/>
        <v>527.9736</v>
      </c>
      <c r="O16" s="108">
        <v>23.29</v>
      </c>
      <c r="P16" s="108">
        <f t="shared" si="11"/>
        <v>465.8</v>
      </c>
      <c r="Q16" s="108">
        <f t="shared" si="12"/>
        <v>2406.0564</v>
      </c>
      <c r="R16" s="108">
        <f t="shared" si="13"/>
        <v>999.95</v>
      </c>
      <c r="S16" s="108">
        <f t="shared" si="14"/>
        <v>219.989</v>
      </c>
      <c r="T16" s="108">
        <f t="shared" si="15"/>
        <v>1186.1174</v>
      </c>
      <c r="U16" s="104">
        <f t="shared" si="16"/>
        <v>46.61666667</v>
      </c>
      <c r="V16" s="106">
        <f t="shared" si="17"/>
        <v>53.95</v>
      </c>
      <c r="W16" s="106">
        <f t="shared" si="18"/>
        <v>60.75</v>
      </c>
      <c r="X16" s="111">
        <f t="shared" ref="X16:Z16" si="51">$I16*U16</f>
        <v>932.3333333</v>
      </c>
      <c r="Y16" s="111">
        <f t="shared" si="51"/>
        <v>1079</v>
      </c>
      <c r="Z16" s="112">
        <f t="shared" si="51"/>
        <v>1215</v>
      </c>
      <c r="AA16" s="113">
        <f t="shared" ref="AA16:AC16" si="52">$T16-X16</f>
        <v>253.7840667</v>
      </c>
      <c r="AB16" s="113">
        <f t="shared" si="52"/>
        <v>107.1174</v>
      </c>
      <c r="AC16" s="113">
        <f t="shared" si="52"/>
        <v>-28.8826</v>
      </c>
      <c r="AD16" s="114">
        <f t="shared" ref="AD16:AF16" si="53">AA16/$M16</f>
        <v>0.07464610485</v>
      </c>
      <c r="AE16" s="114">
        <f t="shared" si="53"/>
        <v>0.03150669298</v>
      </c>
      <c r="AF16" s="114">
        <f t="shared" si="53"/>
        <v>-0.008495307118</v>
      </c>
      <c r="AG16" s="115"/>
      <c r="AH16" s="127"/>
      <c r="AI16" s="127"/>
    </row>
    <row r="17">
      <c r="B17" s="7" t="s">
        <v>53</v>
      </c>
      <c r="C17" s="214" t="s">
        <v>223</v>
      </c>
      <c r="D17" s="214">
        <v>2200.0</v>
      </c>
      <c r="E17" s="111">
        <f t="shared" si="38"/>
        <v>26.19047619</v>
      </c>
      <c r="F17" s="165">
        <v>3.19</v>
      </c>
      <c r="G17" s="104">
        <f t="shared" si="5"/>
        <v>22.33</v>
      </c>
      <c r="H17" s="118">
        <v>249.99</v>
      </c>
      <c r="I17" s="165">
        <v>20.0</v>
      </c>
      <c r="J17" s="108">
        <f t="shared" si="6"/>
        <v>4999.8</v>
      </c>
      <c r="K17" s="109">
        <f t="shared" si="7"/>
        <v>0.15</v>
      </c>
      <c r="L17" s="110">
        <f t="shared" si="8"/>
        <v>17</v>
      </c>
      <c r="M17" s="108">
        <f t="shared" si="9"/>
        <v>4249.83</v>
      </c>
      <c r="N17" s="108">
        <f t="shared" si="10"/>
        <v>659.9736</v>
      </c>
      <c r="O17" s="108">
        <v>24.81</v>
      </c>
      <c r="P17" s="108">
        <f t="shared" si="11"/>
        <v>496.2</v>
      </c>
      <c r="Q17" s="108">
        <f t="shared" si="12"/>
        <v>3093.6564</v>
      </c>
      <c r="R17" s="108">
        <f t="shared" si="13"/>
        <v>1249.95</v>
      </c>
      <c r="S17" s="108">
        <f t="shared" si="14"/>
        <v>274.989</v>
      </c>
      <c r="T17" s="108">
        <f t="shared" si="15"/>
        <v>1568.7174</v>
      </c>
      <c r="U17" s="104">
        <f t="shared" si="16"/>
        <v>48.52047619</v>
      </c>
      <c r="V17" s="106">
        <f t="shared" si="17"/>
        <v>55.72285714</v>
      </c>
      <c r="W17" s="106">
        <f t="shared" si="18"/>
        <v>62.40142857</v>
      </c>
      <c r="X17" s="111">
        <f t="shared" ref="X17:Z17" si="54">$I17*U17</f>
        <v>970.4095238</v>
      </c>
      <c r="Y17" s="111">
        <f t="shared" si="54"/>
        <v>1114.457143</v>
      </c>
      <c r="Z17" s="112">
        <f t="shared" si="54"/>
        <v>1248.028571</v>
      </c>
      <c r="AA17" s="113">
        <f t="shared" ref="AA17:AC17" si="55">$T17-X17</f>
        <v>598.3078762</v>
      </c>
      <c r="AB17" s="113">
        <f t="shared" si="55"/>
        <v>454.2602571</v>
      </c>
      <c r="AC17" s="113">
        <f t="shared" si="55"/>
        <v>320.6888286</v>
      </c>
      <c r="AD17" s="114">
        <f t="shared" ref="AD17:AF17" si="56">AA17/$M17</f>
        <v>0.1407839552</v>
      </c>
      <c r="AE17" s="114">
        <f t="shared" si="56"/>
        <v>0.1068890419</v>
      </c>
      <c r="AF17" s="114">
        <f t="shared" si="56"/>
        <v>0.07545921333</v>
      </c>
      <c r="AG17" s="115"/>
      <c r="AH17" s="127"/>
      <c r="AI17" s="127"/>
    </row>
    <row r="18">
      <c r="A18" s="7"/>
      <c r="B18" s="7" t="s">
        <v>66</v>
      </c>
      <c r="C18" s="214" t="s">
        <v>226</v>
      </c>
      <c r="D18" s="214">
        <v>4000.0</v>
      </c>
      <c r="E18" s="111">
        <f t="shared" si="38"/>
        <v>47.61904762</v>
      </c>
      <c r="F18" s="165">
        <v>6.38</v>
      </c>
      <c r="G18" s="104">
        <f t="shared" si="5"/>
        <v>44.66</v>
      </c>
      <c r="H18" s="215">
        <v>449.99</v>
      </c>
      <c r="I18" s="165">
        <v>20.0</v>
      </c>
      <c r="J18" s="108">
        <f t="shared" si="6"/>
        <v>8999.8</v>
      </c>
      <c r="K18" s="109">
        <f t="shared" si="7"/>
        <v>0.15</v>
      </c>
      <c r="L18" s="110">
        <f t="shared" si="8"/>
        <v>17</v>
      </c>
      <c r="M18" s="108">
        <f t="shared" si="9"/>
        <v>7649.83</v>
      </c>
      <c r="N18" s="108">
        <f t="shared" si="10"/>
        <v>1187.9736</v>
      </c>
      <c r="O18" s="108">
        <v>61.56</v>
      </c>
      <c r="P18" s="108">
        <f t="shared" si="11"/>
        <v>1231.2</v>
      </c>
      <c r="Q18" s="108">
        <f t="shared" si="12"/>
        <v>5230.6564</v>
      </c>
      <c r="R18" s="108">
        <f t="shared" si="13"/>
        <v>2249.95</v>
      </c>
      <c r="S18" s="108">
        <f t="shared" si="14"/>
        <v>494.989</v>
      </c>
      <c r="T18" s="108">
        <f t="shared" si="15"/>
        <v>2485.7174</v>
      </c>
      <c r="U18" s="104">
        <f t="shared" si="16"/>
        <v>92.27904762</v>
      </c>
      <c r="V18" s="106">
        <f t="shared" si="17"/>
        <v>105.3742857</v>
      </c>
      <c r="W18" s="106">
        <f t="shared" si="18"/>
        <v>117.5171429</v>
      </c>
      <c r="X18" s="111">
        <f t="shared" ref="X18:Z18" si="57">$I18*U18</f>
        <v>1845.580952</v>
      </c>
      <c r="Y18" s="111">
        <f t="shared" si="57"/>
        <v>2107.485714</v>
      </c>
      <c r="Z18" s="112">
        <f t="shared" si="57"/>
        <v>2350.342857</v>
      </c>
      <c r="AA18" s="113">
        <f t="shared" ref="AA18:AC18" si="58">$T18-X18</f>
        <v>640.1364476</v>
      </c>
      <c r="AB18" s="113">
        <f t="shared" si="58"/>
        <v>378.2316857</v>
      </c>
      <c r="AC18" s="113">
        <f t="shared" si="58"/>
        <v>135.3745429</v>
      </c>
      <c r="AD18" s="114">
        <f t="shared" ref="AD18:AF18" si="59">AA18/$M18</f>
        <v>0.08367982656</v>
      </c>
      <c r="AE18" s="114">
        <f t="shared" si="59"/>
        <v>0.04944314916</v>
      </c>
      <c r="AF18" s="114">
        <f t="shared" si="59"/>
        <v>0.01769641193</v>
      </c>
      <c r="AG18" s="115"/>
      <c r="AH18" s="127"/>
      <c r="AI18" s="127"/>
    </row>
    <row r="19">
      <c r="B19" s="7" t="s">
        <v>360</v>
      </c>
      <c r="C19" s="214" t="s">
        <v>223</v>
      </c>
      <c r="D19" s="214">
        <v>2500.0</v>
      </c>
      <c r="E19" s="111">
        <f t="shared" si="38"/>
        <v>29.76190476</v>
      </c>
      <c r="F19" s="165">
        <v>1.92</v>
      </c>
      <c r="G19" s="104">
        <f t="shared" si="5"/>
        <v>13.44</v>
      </c>
      <c r="H19" s="118">
        <v>189.99</v>
      </c>
      <c r="I19" s="165">
        <v>20.0</v>
      </c>
      <c r="J19" s="108">
        <f t="shared" si="6"/>
        <v>3799.8</v>
      </c>
      <c r="K19" s="109">
        <f t="shared" si="7"/>
        <v>0.15</v>
      </c>
      <c r="L19" s="110">
        <f t="shared" si="8"/>
        <v>17</v>
      </c>
      <c r="M19" s="108">
        <f t="shared" si="9"/>
        <v>3229.83</v>
      </c>
      <c r="N19" s="108">
        <f t="shared" si="10"/>
        <v>501.5736</v>
      </c>
      <c r="O19" s="108">
        <v>19.11</v>
      </c>
      <c r="P19" s="108">
        <f t="shared" si="11"/>
        <v>382.2</v>
      </c>
      <c r="Q19" s="108">
        <f t="shared" si="12"/>
        <v>2346.0564</v>
      </c>
      <c r="R19" s="108">
        <f t="shared" si="13"/>
        <v>949.95</v>
      </c>
      <c r="S19" s="108">
        <f t="shared" si="14"/>
        <v>208.989</v>
      </c>
      <c r="T19" s="108">
        <f t="shared" si="15"/>
        <v>1187.1174</v>
      </c>
      <c r="U19" s="104">
        <f t="shared" si="16"/>
        <v>43.20190476</v>
      </c>
      <c r="V19" s="106">
        <f t="shared" si="17"/>
        <v>51.38642857</v>
      </c>
      <c r="W19" s="106">
        <f t="shared" si="18"/>
        <v>58.97571429</v>
      </c>
      <c r="X19" s="111">
        <f t="shared" ref="X19:Z19" si="60">$I19*U19</f>
        <v>864.0380952</v>
      </c>
      <c r="Y19" s="111">
        <f t="shared" si="60"/>
        <v>1027.728571</v>
      </c>
      <c r="Z19" s="112">
        <f t="shared" si="60"/>
        <v>1179.514286</v>
      </c>
      <c r="AA19" s="113">
        <f t="shared" ref="AA19:AC19" si="61">$T19-X19</f>
        <v>323.0793048</v>
      </c>
      <c r="AB19" s="113">
        <f t="shared" si="61"/>
        <v>159.3888286</v>
      </c>
      <c r="AC19" s="113">
        <f t="shared" si="61"/>
        <v>7.603114286</v>
      </c>
      <c r="AD19" s="114">
        <f t="shared" ref="AD19:AF19" si="62">AA19/$M19</f>
        <v>0.1000298173</v>
      </c>
      <c r="AE19" s="114">
        <f t="shared" si="62"/>
        <v>0.04934898387</v>
      </c>
      <c r="AF19" s="114">
        <f t="shared" si="62"/>
        <v>0.002354029248</v>
      </c>
      <c r="AG19" s="115"/>
      <c r="AH19" s="127"/>
      <c r="AI19" s="127"/>
    </row>
    <row r="20">
      <c r="B20" s="119" t="s">
        <v>230</v>
      </c>
      <c r="C20" s="120"/>
      <c r="D20" s="120"/>
      <c r="E20" s="120"/>
      <c r="F20" s="120"/>
      <c r="G20" s="120"/>
      <c r="H20" s="121"/>
      <c r="I20" s="122"/>
      <c r="J20" s="123">
        <f>sum(J5:J10)</f>
        <v>17312.45</v>
      </c>
      <c r="K20" s="124"/>
      <c r="L20" s="124"/>
      <c r="M20" s="123">
        <f t="shared" ref="M20:N20" si="63">sum(M5:M10)</f>
        <v>14302.55</v>
      </c>
      <c r="N20" s="123">
        <f t="shared" si="63"/>
        <v>2235.6795</v>
      </c>
      <c r="O20" s="124"/>
      <c r="P20" s="123">
        <f t="shared" ref="P20:T20" si="64">sum(P5:P10)</f>
        <v>2215.91</v>
      </c>
      <c r="Q20" s="123">
        <f t="shared" si="64"/>
        <v>9850.9605</v>
      </c>
      <c r="R20" s="123">
        <f t="shared" si="64"/>
        <v>4328.1125</v>
      </c>
      <c r="S20" s="123">
        <f t="shared" si="64"/>
        <v>952.18475</v>
      </c>
      <c r="T20" s="123">
        <f t="shared" si="64"/>
        <v>4570.66325</v>
      </c>
      <c r="U20" s="120"/>
      <c r="V20" s="121"/>
      <c r="W20" s="121"/>
      <c r="X20" s="125">
        <f t="shared" ref="X20:AC20" si="65">sum(X5:X10)</f>
        <v>4030.682468</v>
      </c>
      <c r="Y20" s="125">
        <f t="shared" si="65"/>
        <v>4692.761468</v>
      </c>
      <c r="Z20" s="125">
        <f t="shared" si="65"/>
        <v>5306.689268</v>
      </c>
      <c r="AA20" s="123">
        <f t="shared" si="65"/>
        <v>539.9807818</v>
      </c>
      <c r="AB20" s="123">
        <f t="shared" si="65"/>
        <v>-122.0982182</v>
      </c>
      <c r="AC20" s="123">
        <f t="shared" si="65"/>
        <v>-736.0260182</v>
      </c>
      <c r="AD20" s="126">
        <f t="shared" ref="AD20:AF20" si="66">AA20/$M20</f>
        <v>0.03775416145</v>
      </c>
      <c r="AE20" s="126">
        <f t="shared" si="66"/>
        <v>-0.008536814636</v>
      </c>
      <c r="AF20" s="126">
        <f t="shared" si="66"/>
        <v>-0.05146117428</v>
      </c>
      <c r="AG20" s="115">
        <f>AI20/AH20</f>
        <v>0.146953405</v>
      </c>
      <c r="AH20" s="127">
        <f t="shared" ref="AH20:AI20" si="67">SUM(AH5:AH10)</f>
        <v>279</v>
      </c>
      <c r="AI20" s="127">
        <f t="shared" si="67"/>
        <v>41</v>
      </c>
    </row>
    <row r="22">
      <c r="V22" s="7" t="s">
        <v>361</v>
      </c>
      <c r="W22" s="18">
        <v>0.03</v>
      </c>
      <c r="X22" s="7" t="s">
        <v>362</v>
      </c>
    </row>
    <row r="23">
      <c r="V23" s="7" t="s">
        <v>363</v>
      </c>
      <c r="W23" s="18">
        <v>0.15</v>
      </c>
      <c r="X23" s="7" t="s">
        <v>364</v>
      </c>
    </row>
    <row r="24">
      <c r="V24" s="7" t="s">
        <v>201</v>
      </c>
      <c r="W24" s="18">
        <v>0.25</v>
      </c>
      <c r="X24" s="7" t="s">
        <v>364</v>
      </c>
    </row>
    <row r="25">
      <c r="V25" s="7" t="s">
        <v>202</v>
      </c>
      <c r="W25" s="18">
        <v>0.06</v>
      </c>
      <c r="X25" s="7" t="s">
        <v>364</v>
      </c>
    </row>
    <row r="26">
      <c r="V26" s="7" t="s">
        <v>365</v>
      </c>
      <c r="W26" s="18">
        <v>0.15</v>
      </c>
      <c r="X26" s="7" t="s">
        <v>366</v>
      </c>
    </row>
    <row r="27">
      <c r="V27" s="7" t="s">
        <v>367</v>
      </c>
      <c r="W27" s="18">
        <v>0.15</v>
      </c>
      <c r="X27" s="7" t="s">
        <v>366</v>
      </c>
    </row>
    <row r="28">
      <c r="V28" s="7" t="s">
        <v>368</v>
      </c>
      <c r="W28" s="216">
        <v>29.7</v>
      </c>
    </row>
    <row r="29">
      <c r="V29" s="7" t="s">
        <v>369</v>
      </c>
      <c r="W29" s="216">
        <v>16.0</v>
      </c>
    </row>
    <row r="30">
      <c r="V30" s="7"/>
      <c r="W30" s="71"/>
      <c r="X30" s="7"/>
    </row>
    <row r="31">
      <c r="T31" s="70">
        <f>T32*15%</f>
        <v>12.75</v>
      </c>
      <c r="V31" s="7" t="s">
        <v>370</v>
      </c>
      <c r="W31" s="74">
        <f>W26*(1-W23) + W22*W23</f>
        <v>0.132</v>
      </c>
      <c r="X31" s="7" t="s">
        <v>364</v>
      </c>
    </row>
    <row r="32">
      <c r="S32" s="7" t="s">
        <v>371</v>
      </c>
      <c r="T32" s="70">
        <f>T35*T34*(1-T33)</f>
        <v>85</v>
      </c>
      <c r="V32" s="7" t="s">
        <v>367</v>
      </c>
      <c r="W32" s="74">
        <f>W27*(1-W23)</f>
        <v>0.1275</v>
      </c>
      <c r="X32" s="7" t="s">
        <v>364</v>
      </c>
    </row>
    <row r="33">
      <c r="S33" s="7" t="s">
        <v>372</v>
      </c>
      <c r="T33" s="18">
        <v>0.15</v>
      </c>
      <c r="V33" s="7" t="s">
        <v>373</v>
      </c>
      <c r="W33" s="74">
        <f>W32+W31+W24+W25</f>
        <v>0.5695</v>
      </c>
      <c r="X33" s="7" t="s">
        <v>364</v>
      </c>
    </row>
    <row r="34">
      <c r="S34" s="7" t="s">
        <v>192</v>
      </c>
      <c r="T34" s="7">
        <v>1.0</v>
      </c>
      <c r="V34" s="7"/>
      <c r="W34" s="74">
        <f>1-W33</f>
        <v>0.4305</v>
      </c>
      <c r="X34" s="216">
        <f>W29+W28</f>
        <v>45.7</v>
      </c>
    </row>
    <row r="35">
      <c r="S35" s="7" t="s">
        <v>191</v>
      </c>
      <c r="T35" s="7">
        <v>100.0</v>
      </c>
      <c r="V35" s="7" t="s">
        <v>191</v>
      </c>
      <c r="X35" s="71">
        <f>X34/W34</f>
        <v>106.155633</v>
      </c>
    </row>
    <row r="36">
      <c r="X36" s="74">
        <f>W29/X35</f>
        <v>0.1507221007</v>
      </c>
    </row>
    <row r="37">
      <c r="X37" s="74">
        <f>W28/X35</f>
        <v>0.2797778993</v>
      </c>
    </row>
  </sheetData>
  <conditionalFormatting sqref="AD5:AF20">
    <cfRule type="colorScale" priority="1">
      <colorScale>
        <cfvo type="min"/>
        <cfvo type="formula" val="0"/>
        <cfvo type="max"/>
        <color rgb="FFE06666"/>
        <color rgb="FFFFFFFF"/>
        <color rgb="FF93C47D"/>
      </colorScale>
    </cfRule>
  </conditionalFormatting>
  <drawing r:id="rId1"/>
  <tableParts count="6">
    <tablePart r:id="rId8"/>
    <tablePart r:id="rId9"/>
    <tablePart r:id="rId10"/>
    <tablePart r:id="rId11"/>
    <tablePart r:id="rId12"/>
    <tablePart r:id="rId13"/>
  </tableParts>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22.13"/>
    <col customWidth="1" min="2" max="2" width="21.13"/>
    <col customWidth="1" min="3" max="3" width="18.88"/>
    <col customWidth="1" min="4" max="4" width="16.25"/>
    <col customWidth="1" min="5" max="5" width="16.0"/>
    <col customWidth="1" min="6" max="6" width="17.38"/>
    <col customWidth="1" min="7" max="7" width="14.38"/>
    <col customWidth="1" min="8" max="8" width="17.63"/>
    <col customWidth="1" min="9" max="9" width="17.38"/>
    <col customWidth="1" min="10" max="10" width="17.88"/>
    <col customWidth="1" min="11" max="11" width="17.38"/>
    <col customWidth="1" min="12" max="12" width="11.75"/>
    <col customWidth="1" min="13" max="26" width="8.63"/>
  </cols>
  <sheetData>
    <row r="3">
      <c r="A3" s="217" t="s">
        <v>374</v>
      </c>
      <c r="B3" s="70" t="s">
        <v>375</v>
      </c>
      <c r="C3" s="70" t="s">
        <v>376</v>
      </c>
      <c r="D3" s="70" t="s">
        <v>377</v>
      </c>
      <c r="E3" s="70" t="s">
        <v>378</v>
      </c>
      <c r="F3" s="70" t="s">
        <v>379</v>
      </c>
      <c r="G3" s="70" t="s">
        <v>380</v>
      </c>
      <c r="H3" s="70" t="s">
        <v>381</v>
      </c>
      <c r="I3" s="70" t="s">
        <v>382</v>
      </c>
      <c r="J3" s="70" t="s">
        <v>383</v>
      </c>
      <c r="K3" s="70" t="s">
        <v>384</v>
      </c>
      <c r="L3" s="70" t="s">
        <v>385</v>
      </c>
    </row>
    <row r="4">
      <c r="A4" s="218" t="s">
        <v>386</v>
      </c>
      <c r="B4" s="217">
        <v>323.99</v>
      </c>
      <c r="C4" s="217">
        <v>0.0</v>
      </c>
      <c r="D4" s="217">
        <v>323.99</v>
      </c>
      <c r="E4" s="217">
        <v>1.0</v>
      </c>
      <c r="F4" s="217">
        <v>0.0</v>
      </c>
      <c r="G4" s="217">
        <v>1.0</v>
      </c>
      <c r="H4" s="217">
        <v>-42.4</v>
      </c>
      <c r="I4" s="217">
        <v>0.0</v>
      </c>
      <c r="J4" s="217">
        <v>-0.05</v>
      </c>
      <c r="K4" s="217">
        <v>-42.449999999999996</v>
      </c>
      <c r="L4" s="217">
        <v>281.54</v>
      </c>
    </row>
    <row r="5">
      <c r="A5" s="218" t="s">
        <v>387</v>
      </c>
      <c r="B5" s="217">
        <v>378.39</v>
      </c>
      <c r="C5" s="217">
        <v>0.0</v>
      </c>
      <c r="D5" s="217">
        <v>378.39</v>
      </c>
      <c r="E5" s="217">
        <v>1.0</v>
      </c>
      <c r="F5" s="217">
        <v>0.0</v>
      </c>
      <c r="G5" s="217">
        <v>1.0</v>
      </c>
      <c r="H5" s="217">
        <v>-47.84</v>
      </c>
      <c r="I5" s="217">
        <v>0.0</v>
      </c>
      <c r="J5" s="217">
        <v>-0.05</v>
      </c>
      <c r="K5" s="217">
        <v>-47.89</v>
      </c>
      <c r="L5" s="217">
        <v>330.5</v>
      </c>
    </row>
    <row r="6">
      <c r="A6" s="218" t="s">
        <v>388</v>
      </c>
      <c r="B6" s="217">
        <v>429.99</v>
      </c>
      <c r="C6" s="217">
        <v>-429.99</v>
      </c>
      <c r="D6" s="217">
        <v>0.0</v>
      </c>
      <c r="E6" s="217">
        <v>1.0</v>
      </c>
      <c r="F6" s="217">
        <v>-1.0</v>
      </c>
      <c r="G6" s="217">
        <v>0.0</v>
      </c>
      <c r="H6" s="217">
        <v>-5.0</v>
      </c>
      <c r="I6" s="217">
        <v>-53.62</v>
      </c>
      <c r="J6" s="217">
        <v>0.0</v>
      </c>
      <c r="K6" s="217">
        <v>-58.620000000000005</v>
      </c>
      <c r="L6" s="217">
        <v>-58.620000000000005</v>
      </c>
    </row>
    <row r="7">
      <c r="A7" s="218" t="s">
        <v>389</v>
      </c>
      <c r="B7" s="217">
        <v>1329.98</v>
      </c>
      <c r="C7" s="217">
        <v>-1329.98</v>
      </c>
      <c r="D7" s="217">
        <v>0.0</v>
      </c>
      <c r="E7" s="217">
        <v>2.0</v>
      </c>
      <c r="F7" s="217">
        <v>-2.0</v>
      </c>
      <c r="G7" s="217">
        <v>0.0</v>
      </c>
      <c r="H7" s="217">
        <v>-10.0</v>
      </c>
      <c r="I7" s="217">
        <v>-389.9</v>
      </c>
      <c r="J7" s="217">
        <v>0.0</v>
      </c>
      <c r="K7" s="217">
        <v>-399.9</v>
      </c>
      <c r="L7" s="217">
        <v>-399.9</v>
      </c>
    </row>
    <row r="8">
      <c r="A8" s="218" t="s">
        <v>390</v>
      </c>
      <c r="B8" s="217">
        <v>692.99</v>
      </c>
      <c r="C8" s="217">
        <v>-692.99</v>
      </c>
      <c r="D8" s="217">
        <v>0.0</v>
      </c>
      <c r="E8" s="217">
        <v>1.0</v>
      </c>
      <c r="F8" s="217">
        <v>-1.0</v>
      </c>
      <c r="G8" s="217">
        <v>0.0</v>
      </c>
      <c r="H8" s="217">
        <v>-5.0</v>
      </c>
      <c r="I8" s="217">
        <v>-194.95</v>
      </c>
      <c r="J8" s="217">
        <v>0.0</v>
      </c>
      <c r="K8" s="217">
        <v>-199.95</v>
      </c>
      <c r="L8" s="217">
        <v>-199.95000000000005</v>
      </c>
    </row>
    <row r="9">
      <c r="A9" s="218" t="s">
        <v>391</v>
      </c>
      <c r="B9" s="217">
        <v>699.99</v>
      </c>
      <c r="C9" s="217">
        <v>0.0</v>
      </c>
      <c r="D9" s="217">
        <v>699.99</v>
      </c>
      <c r="E9" s="217">
        <v>1.0</v>
      </c>
      <c r="F9" s="217">
        <v>0.0</v>
      </c>
      <c r="G9" s="217">
        <v>1.0</v>
      </c>
      <c r="H9" s="217">
        <v>-80.0</v>
      </c>
      <c r="I9" s="217">
        <v>0.0</v>
      </c>
      <c r="J9" s="217">
        <v>0.0</v>
      </c>
      <c r="K9" s="217">
        <v>-80.0</v>
      </c>
      <c r="L9" s="217">
        <v>619.99</v>
      </c>
    </row>
    <row r="10">
      <c r="A10" s="218" t="s">
        <v>227</v>
      </c>
      <c r="B10" s="217">
        <v>2067.12</v>
      </c>
      <c r="C10" s="217">
        <v>0.0</v>
      </c>
      <c r="D10" s="217">
        <v>2067.12</v>
      </c>
      <c r="E10" s="217">
        <v>16.0</v>
      </c>
      <c r="F10" s="217">
        <v>0.0</v>
      </c>
      <c r="G10" s="217">
        <v>16.0</v>
      </c>
      <c r="H10" s="217">
        <v>-304.74</v>
      </c>
      <c r="I10" s="217">
        <v>-426.37000000000006</v>
      </c>
      <c r="J10" s="217">
        <v>0.0</v>
      </c>
      <c r="K10" s="217">
        <v>-731.1099999999999</v>
      </c>
      <c r="L10" s="217">
        <v>1336.0099999999998</v>
      </c>
    </row>
    <row r="11">
      <c r="A11" s="218" t="s">
        <v>225</v>
      </c>
      <c r="B11" s="217">
        <v>2726.789999999999</v>
      </c>
      <c r="C11" s="217">
        <v>-125.99</v>
      </c>
      <c r="D11" s="217">
        <v>2600.7999999999993</v>
      </c>
      <c r="E11" s="217">
        <v>21.0</v>
      </c>
      <c r="F11" s="217">
        <v>-1.0</v>
      </c>
      <c r="G11" s="217">
        <v>20.0</v>
      </c>
      <c r="H11" s="217">
        <v>-365.44000000000005</v>
      </c>
      <c r="I11" s="217">
        <v>-735.4300000000001</v>
      </c>
      <c r="J11" s="217">
        <v>0.0</v>
      </c>
      <c r="K11" s="217">
        <v>-1100.8700000000001</v>
      </c>
      <c r="L11" s="217">
        <v>1499.9299999999998</v>
      </c>
    </row>
    <row r="12">
      <c r="A12" s="218" t="s">
        <v>229</v>
      </c>
      <c r="B12" s="217">
        <v>1493.25</v>
      </c>
      <c r="C12" s="217">
        <v>-352.46</v>
      </c>
      <c r="D12" s="217">
        <v>1140.79</v>
      </c>
      <c r="E12" s="217">
        <v>18.0</v>
      </c>
      <c r="F12" s="217">
        <v>-4.0</v>
      </c>
      <c r="G12" s="217">
        <v>14.0</v>
      </c>
      <c r="H12" s="217">
        <v>-181.10999999999999</v>
      </c>
      <c r="I12" s="217">
        <v>-95.1</v>
      </c>
      <c r="J12" s="217">
        <v>0.0</v>
      </c>
      <c r="K12" s="217">
        <v>-276.21000000000004</v>
      </c>
      <c r="L12" s="217">
        <v>864.5800000000003</v>
      </c>
    </row>
    <row r="13">
      <c r="A13" s="218" t="s">
        <v>228</v>
      </c>
      <c r="B13" s="217">
        <v>2202.6</v>
      </c>
      <c r="C13" s="217">
        <v>-439.88</v>
      </c>
      <c r="D13" s="217">
        <v>1762.72</v>
      </c>
      <c r="E13" s="217">
        <v>10.0</v>
      </c>
      <c r="F13" s="217">
        <v>-2.0</v>
      </c>
      <c r="G13" s="217">
        <v>8.0</v>
      </c>
      <c r="H13" s="217">
        <v>-261.73</v>
      </c>
      <c r="I13" s="217">
        <v>-258.38999999999993</v>
      </c>
      <c r="J13" s="217">
        <v>0.0</v>
      </c>
      <c r="K13" s="217">
        <v>-520.12</v>
      </c>
      <c r="L13" s="217">
        <v>1242.6</v>
      </c>
    </row>
    <row r="14">
      <c r="A14" s="218" t="s">
        <v>392</v>
      </c>
      <c r="B14" s="217">
        <v>218.39</v>
      </c>
      <c r="C14" s="217">
        <v>-218.39</v>
      </c>
      <c r="D14" s="217">
        <v>0.0</v>
      </c>
      <c r="E14" s="217">
        <v>1.0</v>
      </c>
      <c r="F14" s="217">
        <v>-1.0</v>
      </c>
      <c r="G14" s="217">
        <v>0.0</v>
      </c>
      <c r="H14" s="217">
        <v>-5.0</v>
      </c>
      <c r="I14" s="217">
        <v>0.0</v>
      </c>
      <c r="J14" s="217">
        <v>-0.05</v>
      </c>
      <c r="K14" s="217">
        <v>-5.05</v>
      </c>
      <c r="L14" s="217">
        <v>-5.049999999999983</v>
      </c>
    </row>
    <row r="15">
      <c r="A15" s="218" t="s">
        <v>393</v>
      </c>
      <c r="B15" s="217">
        <v>709.77</v>
      </c>
      <c r="C15" s="217">
        <v>0.0</v>
      </c>
      <c r="D15" s="217">
        <v>709.77</v>
      </c>
      <c r="E15" s="217">
        <v>3.0</v>
      </c>
      <c r="F15" s="217">
        <v>0.0</v>
      </c>
      <c r="G15" s="217">
        <v>3.0</v>
      </c>
      <c r="H15" s="217">
        <v>-100.98000000000002</v>
      </c>
      <c r="I15" s="217">
        <v>-68.73</v>
      </c>
      <c r="J15" s="217">
        <v>0.0</v>
      </c>
      <c r="K15" s="217">
        <v>-169.71</v>
      </c>
      <c r="L15" s="217">
        <v>540.06</v>
      </c>
    </row>
    <row r="16">
      <c r="A16" s="218" t="s">
        <v>394</v>
      </c>
      <c r="B16" s="217">
        <v>599.98</v>
      </c>
      <c r="C16" s="217">
        <v>0.0</v>
      </c>
      <c r="D16" s="217">
        <v>599.98</v>
      </c>
      <c r="E16" s="217">
        <v>2.0</v>
      </c>
      <c r="F16" s="217">
        <v>0.0</v>
      </c>
      <c r="G16" s="217">
        <v>2.0</v>
      </c>
      <c r="H16" s="217">
        <v>-77.0</v>
      </c>
      <c r="I16" s="217">
        <v>-30.0</v>
      </c>
      <c r="J16" s="217">
        <v>-0.05</v>
      </c>
      <c r="K16" s="217">
        <v>-107.05</v>
      </c>
      <c r="L16" s="217">
        <v>492.93</v>
      </c>
    </row>
    <row r="17">
      <c r="A17" s="218" t="s">
        <v>395</v>
      </c>
      <c r="B17" s="217">
        <v>658.37</v>
      </c>
      <c r="C17" s="217">
        <v>0.0</v>
      </c>
      <c r="D17" s="217">
        <v>658.37</v>
      </c>
      <c r="E17" s="217">
        <v>3.0</v>
      </c>
      <c r="F17" s="217">
        <v>0.0</v>
      </c>
      <c r="G17" s="217">
        <v>3.0</v>
      </c>
      <c r="H17" s="217">
        <v>-95.75999999999999</v>
      </c>
      <c r="I17" s="217">
        <v>-130.10999999999999</v>
      </c>
      <c r="J17" s="217">
        <v>0.0</v>
      </c>
      <c r="K17" s="217">
        <v>-225.87</v>
      </c>
      <c r="L17" s="217">
        <v>432.5</v>
      </c>
    </row>
    <row r="18">
      <c r="A18" s="218" t="s">
        <v>396</v>
      </c>
      <c r="B18" s="217">
        <v>179.99</v>
      </c>
      <c r="C18" s="217">
        <v>-179.99</v>
      </c>
      <c r="D18" s="217">
        <v>0.0</v>
      </c>
      <c r="E18" s="217">
        <v>1.0</v>
      </c>
      <c r="F18" s="217">
        <v>-1.0</v>
      </c>
      <c r="G18" s="217">
        <v>0.0</v>
      </c>
      <c r="H18" s="217">
        <v>-5.0</v>
      </c>
      <c r="I18" s="217">
        <v>-21.77</v>
      </c>
      <c r="J18" s="217">
        <v>0.0</v>
      </c>
      <c r="K18" s="217">
        <v>-26.770000000000003</v>
      </c>
      <c r="L18" s="217">
        <v>-26.769999999999996</v>
      </c>
    </row>
    <row r="19">
      <c r="A19" s="218" t="s">
        <v>397</v>
      </c>
      <c r="B19" s="217">
        <v>719.96</v>
      </c>
      <c r="C19" s="217">
        <v>-359.98</v>
      </c>
      <c r="D19" s="217">
        <v>359.98</v>
      </c>
      <c r="E19" s="217">
        <v>4.0</v>
      </c>
      <c r="F19" s="217">
        <v>-2.0</v>
      </c>
      <c r="G19" s="217">
        <v>2.0</v>
      </c>
      <c r="H19" s="217">
        <v>-64.0</v>
      </c>
      <c r="I19" s="217">
        <v>-87.08</v>
      </c>
      <c r="J19" s="217">
        <v>0.0</v>
      </c>
      <c r="K19" s="217">
        <v>-151.07999999999998</v>
      </c>
      <c r="L19" s="217">
        <v>208.9000000000001</v>
      </c>
    </row>
    <row r="20">
      <c r="A20" s="218" t="s">
        <v>398</v>
      </c>
      <c r="B20" s="217">
        <v>399.98</v>
      </c>
      <c r="C20" s="217">
        <v>0.0</v>
      </c>
      <c r="D20" s="217">
        <v>399.98</v>
      </c>
      <c r="E20" s="217">
        <v>2.0</v>
      </c>
      <c r="F20" s="217">
        <v>0.0</v>
      </c>
      <c r="G20" s="217">
        <v>2.0</v>
      </c>
      <c r="H20" s="217">
        <v>-60.0</v>
      </c>
      <c r="I20" s="217">
        <v>0.0</v>
      </c>
      <c r="J20" s="217">
        <v>-0.1</v>
      </c>
      <c r="K20" s="217">
        <v>-60.1</v>
      </c>
      <c r="L20" s="217">
        <v>339.88</v>
      </c>
    </row>
    <row r="21" ht="15.75" customHeight="1">
      <c r="A21" s="218" t="s">
        <v>222</v>
      </c>
      <c r="B21" s="217">
        <v>3199.6399999999994</v>
      </c>
      <c r="C21" s="217">
        <v>-129.99</v>
      </c>
      <c r="D21" s="217">
        <v>3069.6499999999996</v>
      </c>
      <c r="E21" s="217">
        <v>26.0</v>
      </c>
      <c r="F21" s="217">
        <v>-1.0</v>
      </c>
      <c r="G21" s="217">
        <v>25.0</v>
      </c>
      <c r="H21" s="217">
        <v>-458.97999999999996</v>
      </c>
      <c r="I21" s="217">
        <v>-461.91999999999985</v>
      </c>
      <c r="J21" s="217">
        <v>0.0</v>
      </c>
      <c r="K21" s="217">
        <v>-920.9000000000001</v>
      </c>
      <c r="L21" s="217">
        <v>2148.75</v>
      </c>
    </row>
    <row r="22" ht="15.75" customHeight="1">
      <c r="A22" s="218" t="s">
        <v>224</v>
      </c>
      <c r="B22" s="217">
        <v>3054.039999999999</v>
      </c>
      <c r="C22" s="217">
        <v>-370.67</v>
      </c>
      <c r="D22" s="217">
        <v>2683.37</v>
      </c>
      <c r="E22" s="217">
        <v>26.0</v>
      </c>
      <c r="F22" s="217">
        <v>-3.0</v>
      </c>
      <c r="G22" s="217">
        <v>23.0</v>
      </c>
      <c r="H22" s="217">
        <v>-405.06000000000006</v>
      </c>
      <c r="I22" s="217">
        <v>-368.5999999999999</v>
      </c>
      <c r="J22" s="217">
        <v>0.0</v>
      </c>
      <c r="K22" s="217">
        <v>-773.66</v>
      </c>
      <c r="L22" s="217">
        <v>1909.7099999999998</v>
      </c>
    </row>
    <row r="23" ht="15.75" customHeight="1">
      <c r="A23" s="218" t="s">
        <v>399</v>
      </c>
      <c r="B23" s="217">
        <v>22085.21</v>
      </c>
      <c r="C23" s="217">
        <v>-4630.3099999999995</v>
      </c>
      <c r="D23" s="217">
        <v>17454.899999999998</v>
      </c>
      <c r="E23" s="217">
        <v>140.0</v>
      </c>
      <c r="F23" s="217">
        <v>-19.0</v>
      </c>
      <c r="G23" s="217">
        <v>121.0</v>
      </c>
      <c r="H23" s="217">
        <v>-2575.04</v>
      </c>
      <c r="I23" s="217">
        <v>-3321.97</v>
      </c>
      <c r="J23" s="217">
        <v>-0.30000000000000004</v>
      </c>
      <c r="K23" s="217">
        <v>-5897.310000000001</v>
      </c>
      <c r="L23" s="217">
        <v>11557.59</v>
      </c>
    </row>
    <row r="24" ht="15.75" customHeight="1"/>
    <row r="25" ht="15.75" customHeight="1">
      <c r="B25" s="70">
        <v>1194.0</v>
      </c>
    </row>
    <row r="26" ht="15.75" customHeight="1">
      <c r="B26" s="219" t="str">
        <f>B25/GETPIVOTDATA("Sum of Product sales2",$A$3)</f>
        <v>#REF!</v>
      </c>
    </row>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orientation="portrait"/>
  <drawing r:id="rId1"/>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15.13"/>
    <col customWidth="1" min="2" max="3" width="15.75"/>
    <col customWidth="1" min="4" max="26" width="8.63"/>
  </cols>
  <sheetData>
    <row r="3">
      <c r="A3" s="70" t="s">
        <v>400</v>
      </c>
      <c r="B3" s="70" t="s">
        <v>401</v>
      </c>
      <c r="C3" s="70" t="s">
        <v>402</v>
      </c>
    </row>
    <row r="4">
      <c r="A4" s="217">
        <v>885.4091000000006</v>
      </c>
      <c r="B4" s="217">
        <v>238.11910000000066</v>
      </c>
      <c r="C4" s="217">
        <v>-409.69089999999926</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orientation="landscape"/>
  <drawing r:id="rId1"/>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12.0"/>
    <col customWidth="1" min="2" max="2" width="15.25"/>
    <col customWidth="1" min="3" max="3" width="8.63"/>
    <col customWidth="1" min="4" max="4" width="10.13"/>
    <col customWidth="1" min="5" max="5" width="8.63"/>
    <col customWidth="1" min="6" max="6" width="13.38"/>
    <col customWidth="1" min="7" max="7" width="10.63"/>
    <col customWidth="1" min="8" max="8" width="14.25"/>
    <col customWidth="1" min="9" max="9" width="14.75"/>
    <col customWidth="1" min="10" max="10" width="12.75"/>
    <col customWidth="1" min="11" max="11" width="16.38"/>
    <col customWidth="1" min="12" max="12" width="13.0"/>
    <col customWidth="1" min="13" max="13" width="14.0"/>
    <col customWidth="1" min="14" max="14" width="21.38"/>
    <col customWidth="1" min="15" max="15" width="15.25"/>
    <col customWidth="1" min="16" max="16" width="18.38"/>
    <col customWidth="1" min="17" max="17" width="17.63"/>
    <col customWidth="1" min="18" max="18" width="20.75"/>
    <col customWidth="1" min="19" max="19" width="17.63"/>
    <col customWidth="1" min="20" max="20" width="20.25"/>
    <col customWidth="1" min="21" max="21" width="16.63"/>
    <col customWidth="1" min="22" max="22" width="23.0"/>
    <col customWidth="1" min="23" max="23" width="21.38"/>
    <col customWidth="1" min="24" max="24" width="24.63"/>
    <col customWidth="1" min="25" max="25" width="25.75"/>
    <col customWidth="1" min="26" max="26" width="13.63"/>
    <col customWidth="1" min="27" max="27" width="10.38"/>
    <col customWidth="1" min="28" max="28" width="23.0"/>
    <col customWidth="1" min="29" max="30" width="8.63"/>
    <col customWidth="1" min="31" max="31" width="16.63"/>
    <col customWidth="1" min="32" max="32" width="14.13"/>
    <col customWidth="1" min="33" max="33" width="11.75"/>
    <col customWidth="1" min="34" max="34" width="11.38"/>
    <col customWidth="1" min="35" max="35" width="12.75"/>
    <col customWidth="1" min="36" max="41" width="8.63"/>
  </cols>
  <sheetData>
    <row r="1">
      <c r="A1" s="220" t="s">
        <v>403</v>
      </c>
      <c r="B1" s="220" t="s">
        <v>404</v>
      </c>
      <c r="C1" s="220" t="s">
        <v>405</v>
      </c>
      <c r="D1" s="220" t="s">
        <v>406</v>
      </c>
      <c r="E1" s="220" t="s">
        <v>407</v>
      </c>
      <c r="F1" s="220" t="s">
        <v>408</v>
      </c>
      <c r="G1" s="220" t="s">
        <v>409</v>
      </c>
      <c r="H1" s="220" t="s">
        <v>410</v>
      </c>
      <c r="I1" s="220" t="s">
        <v>411</v>
      </c>
      <c r="J1" s="220" t="s">
        <v>412</v>
      </c>
      <c r="K1" s="220" t="s">
        <v>413</v>
      </c>
      <c r="L1" s="220" t="s">
        <v>414</v>
      </c>
      <c r="M1" s="220" t="s">
        <v>415</v>
      </c>
      <c r="N1" s="220" t="s">
        <v>416</v>
      </c>
      <c r="O1" s="220" t="s">
        <v>417</v>
      </c>
      <c r="P1" s="220" t="s">
        <v>418</v>
      </c>
      <c r="Q1" s="220" t="s">
        <v>419</v>
      </c>
      <c r="R1" s="220" t="s">
        <v>420</v>
      </c>
      <c r="S1" s="220" t="s">
        <v>421</v>
      </c>
      <c r="T1" s="220" t="s">
        <v>422</v>
      </c>
      <c r="U1" s="220" t="s">
        <v>423</v>
      </c>
      <c r="V1" s="220" t="s">
        <v>424</v>
      </c>
      <c r="W1" s="220" t="s">
        <v>425</v>
      </c>
      <c r="X1" s="220" t="s">
        <v>426</v>
      </c>
      <c r="Y1" s="220" t="s">
        <v>427</v>
      </c>
      <c r="Z1" s="220" t="s">
        <v>428</v>
      </c>
      <c r="AA1" s="220" t="s">
        <v>429</v>
      </c>
      <c r="AB1" s="220" t="s">
        <v>430</v>
      </c>
      <c r="AC1" s="220" t="s">
        <v>431</v>
      </c>
      <c r="AD1" s="220" t="s">
        <v>432</v>
      </c>
      <c r="AE1" s="220" t="s">
        <v>433</v>
      </c>
      <c r="AF1" s="220" t="s">
        <v>434</v>
      </c>
      <c r="AG1" s="220" t="s">
        <v>371</v>
      </c>
      <c r="AH1" s="220" t="s">
        <v>435</v>
      </c>
      <c r="AI1" s="220" t="s">
        <v>436</v>
      </c>
      <c r="AJ1" s="220" t="s">
        <v>437</v>
      </c>
      <c r="AK1" s="220" t="s">
        <v>438</v>
      </c>
      <c r="AL1" s="220" t="s">
        <v>439</v>
      </c>
      <c r="AM1" s="220" t="s">
        <v>440</v>
      </c>
      <c r="AN1" s="220" t="s">
        <v>441</v>
      </c>
      <c r="AO1" s="220" t="s">
        <v>200</v>
      </c>
    </row>
    <row r="2" hidden="1">
      <c r="A2" s="220" t="s">
        <v>442</v>
      </c>
      <c r="B2" s="220">
        <v>2.4342675541E10</v>
      </c>
      <c r="C2" s="220" t="s">
        <v>443</v>
      </c>
      <c r="D2" s="220" t="s">
        <v>444</v>
      </c>
      <c r="E2" s="220" t="s">
        <v>222</v>
      </c>
      <c r="F2" s="220" t="s">
        <v>445</v>
      </c>
      <c r="G2" s="220">
        <v>1.0</v>
      </c>
      <c r="H2" s="220" t="s">
        <v>446</v>
      </c>
      <c r="I2" s="220" t="s">
        <v>447</v>
      </c>
      <c r="J2" s="220" t="s">
        <v>448</v>
      </c>
      <c r="K2" s="220" t="s">
        <v>449</v>
      </c>
      <c r="L2" s="220" t="s">
        <v>450</v>
      </c>
      <c r="M2" s="220">
        <v>98271.0</v>
      </c>
      <c r="N2" s="220" t="s">
        <v>451</v>
      </c>
      <c r="O2" s="220">
        <v>129.99</v>
      </c>
      <c r="P2" s="220">
        <v>11.61</v>
      </c>
      <c r="Q2" s="220">
        <v>0.0</v>
      </c>
      <c r="R2" s="220">
        <v>0.0</v>
      </c>
      <c r="S2" s="220">
        <v>0.0</v>
      </c>
      <c r="T2" s="220">
        <v>0.0</v>
      </c>
      <c r="U2" s="220">
        <v>0.0</v>
      </c>
      <c r="V2" s="220">
        <v>0.0</v>
      </c>
      <c r="W2" s="220">
        <v>-6.5</v>
      </c>
      <c r="X2" s="220">
        <v>0.0</v>
      </c>
      <c r="Y2" s="220">
        <v>-11.61</v>
      </c>
      <c r="Z2" s="220">
        <v>-18.52</v>
      </c>
      <c r="AA2" s="220">
        <v>-16.45</v>
      </c>
      <c r="AB2" s="220">
        <v>0.0</v>
      </c>
      <c r="AC2" s="220">
        <v>0.0</v>
      </c>
      <c r="AD2" s="220">
        <v>88.52</v>
      </c>
      <c r="AE2" s="220">
        <f>IF('2025Sep1-2025Sep30CustomUnified'!$C2="order",'2025Sep1-2025Sep30CustomUnified'!$O2,0)</f>
        <v>129.99</v>
      </c>
      <c r="AF2" s="220">
        <f>IF('2025Sep1-2025Sep30CustomUnified'!$C2="refund",'2025Sep1-2025Sep30CustomUnified'!$O2,0)</f>
        <v>0</v>
      </c>
      <c r="AG2" s="220">
        <f>SUM('2025Sep1-2025Sep30CustomUnified'!$AE2:$AF2)</f>
        <v>129.99</v>
      </c>
      <c r="AH2" s="220">
        <f>IF('2025Sep1-2025Sep30CustomUnified'!$C2="order",'2025Sep1-2025Sep30CustomUnified'!$G2,0)</f>
        <v>1</v>
      </c>
      <c r="AI2" s="220">
        <f>IF('2025Sep1-2025Sep30CustomUnified'!$C2="refund",-'2025Sep1-2025Sep30CustomUnified'!$G2,0)</f>
        <v>0</v>
      </c>
      <c r="AJ2" s="220">
        <f>SUM('2025Sep1-2025Sep30CustomUnified'!$AH2:$AI2)</f>
        <v>1</v>
      </c>
      <c r="AK2" s="220">
        <f>'2025Sep1-2025Sep30CustomUnified'!$Z2</f>
        <v>-18.52</v>
      </c>
      <c r="AL2" s="220">
        <f>'2025Sep1-2025Sep30CustomUnified'!$AA2+'2025Sep1-2025Sep30CustomUnified'!$W2+'2025Sep1-2025Sep30CustomUnified'!$U2+'2025Sep1-2025Sep30CustomUnified'!$S2+'2025Sep1-2025Sep30CustomUnified'!$Q2</f>
        <v>-22.95</v>
      </c>
      <c r="AM2" s="220">
        <f>SUM('2025Sep1-2025Sep30CustomUnified'!$AB2:$AC2)</f>
        <v>0</v>
      </c>
      <c r="AN2" s="220">
        <f>SUM('2025Sep1-2025Sep30CustomUnified'!$AK2:$AM2)</f>
        <v>-41.47</v>
      </c>
      <c r="AO2" s="220">
        <f>'2025Sep1-2025Sep30CustomUnified'!$AG2+'2025Sep1-2025Sep30CustomUnified'!$AN2</f>
        <v>88.52</v>
      </c>
    </row>
    <row r="3" hidden="1">
      <c r="A3" s="220" t="s">
        <v>452</v>
      </c>
      <c r="B3" s="220">
        <v>2.4342675541E10</v>
      </c>
      <c r="C3" s="220" t="s">
        <v>443</v>
      </c>
      <c r="D3" s="220" t="s">
        <v>453</v>
      </c>
      <c r="E3" s="220" t="s">
        <v>222</v>
      </c>
      <c r="F3" s="220" t="s">
        <v>445</v>
      </c>
      <c r="G3" s="220">
        <v>1.0</v>
      </c>
      <c r="H3" s="220" t="s">
        <v>446</v>
      </c>
      <c r="I3" s="220" t="s">
        <v>447</v>
      </c>
      <c r="J3" s="220" t="s">
        <v>448</v>
      </c>
      <c r="K3" s="220" t="s">
        <v>454</v>
      </c>
      <c r="L3" s="220" t="s">
        <v>455</v>
      </c>
      <c r="M3" s="220">
        <v>95842.0</v>
      </c>
      <c r="N3" s="220" t="s">
        <v>451</v>
      </c>
      <c r="O3" s="220">
        <v>129.99</v>
      </c>
      <c r="P3" s="220">
        <v>10.07</v>
      </c>
      <c r="Q3" s="220">
        <v>0.0</v>
      </c>
      <c r="R3" s="220">
        <v>0.0</v>
      </c>
      <c r="S3" s="220">
        <v>0.0</v>
      </c>
      <c r="T3" s="220">
        <v>0.0</v>
      </c>
      <c r="U3" s="220">
        <v>0.0</v>
      </c>
      <c r="V3" s="220">
        <v>0.0</v>
      </c>
      <c r="W3" s="220">
        <v>0.0</v>
      </c>
      <c r="X3" s="220">
        <v>0.0</v>
      </c>
      <c r="Y3" s="220">
        <v>-10.07</v>
      </c>
      <c r="Z3" s="220">
        <v>-19.5</v>
      </c>
      <c r="AA3" s="220">
        <v>-16.45</v>
      </c>
      <c r="AB3" s="220">
        <v>0.0</v>
      </c>
      <c r="AC3" s="220">
        <v>0.0</v>
      </c>
      <c r="AD3" s="220">
        <v>94.04</v>
      </c>
      <c r="AE3" s="220">
        <f>IF('2025Sep1-2025Sep30CustomUnified'!$C3="order",'2025Sep1-2025Sep30CustomUnified'!$O3,0)</f>
        <v>129.99</v>
      </c>
      <c r="AF3" s="220">
        <f>IF('2025Sep1-2025Sep30CustomUnified'!$C3="refund",'2025Sep1-2025Sep30CustomUnified'!$O3,0)</f>
        <v>0</v>
      </c>
      <c r="AG3" s="220">
        <f>SUM('2025Sep1-2025Sep30CustomUnified'!$AE3:$AF3)</f>
        <v>129.99</v>
      </c>
      <c r="AH3" s="220">
        <f>IF('2025Sep1-2025Sep30CustomUnified'!$C3="order",'2025Sep1-2025Sep30CustomUnified'!$G3,0)</f>
        <v>1</v>
      </c>
      <c r="AI3" s="220">
        <f>IF('2025Sep1-2025Sep30CustomUnified'!$C3="refund",-'2025Sep1-2025Sep30CustomUnified'!$G3,0)</f>
        <v>0</v>
      </c>
      <c r="AJ3" s="220">
        <f>SUM('2025Sep1-2025Sep30CustomUnified'!$AH3:$AI3)</f>
        <v>1</v>
      </c>
      <c r="AK3" s="220">
        <f>'2025Sep1-2025Sep30CustomUnified'!$Z3</f>
        <v>-19.5</v>
      </c>
      <c r="AL3" s="220">
        <f>'2025Sep1-2025Sep30CustomUnified'!$AA3+'2025Sep1-2025Sep30CustomUnified'!$W3+'2025Sep1-2025Sep30CustomUnified'!$U3+'2025Sep1-2025Sep30CustomUnified'!$S3+'2025Sep1-2025Sep30CustomUnified'!$Q3</f>
        <v>-16.45</v>
      </c>
      <c r="AM3" s="220">
        <f>SUM('2025Sep1-2025Sep30CustomUnified'!$AB3:$AC3)</f>
        <v>0</v>
      </c>
      <c r="AN3" s="220">
        <f>SUM('2025Sep1-2025Sep30CustomUnified'!$AK3:$AM3)</f>
        <v>-35.95</v>
      </c>
      <c r="AO3" s="220">
        <f>'2025Sep1-2025Sep30CustomUnified'!$AG3+'2025Sep1-2025Sep30CustomUnified'!$AN3</f>
        <v>94.04</v>
      </c>
    </row>
    <row r="4" hidden="1">
      <c r="A4" s="220" t="s">
        <v>456</v>
      </c>
      <c r="B4" s="220">
        <v>2.4342675541E10</v>
      </c>
      <c r="C4" s="220" t="s">
        <v>443</v>
      </c>
      <c r="D4" s="220" t="s">
        <v>457</v>
      </c>
      <c r="E4" s="220" t="s">
        <v>228</v>
      </c>
      <c r="F4" s="220" t="s">
        <v>458</v>
      </c>
      <c r="G4" s="220">
        <v>1.0</v>
      </c>
      <c r="H4" s="220" t="s">
        <v>446</v>
      </c>
      <c r="I4" s="220" t="s">
        <v>447</v>
      </c>
      <c r="J4" s="220" t="s">
        <v>448</v>
      </c>
      <c r="K4" s="220" t="s">
        <v>459</v>
      </c>
      <c r="L4" s="220" t="s">
        <v>460</v>
      </c>
      <c r="M4" s="220">
        <v>11964.0</v>
      </c>
      <c r="N4" s="220" t="s">
        <v>451</v>
      </c>
      <c r="O4" s="220">
        <v>219.99</v>
      </c>
      <c r="P4" s="220">
        <v>19.25</v>
      </c>
      <c r="Q4" s="220">
        <v>0.0</v>
      </c>
      <c r="R4" s="220">
        <v>0.0</v>
      </c>
      <c r="S4" s="220">
        <v>0.0</v>
      </c>
      <c r="T4" s="220">
        <v>0.0</v>
      </c>
      <c r="U4" s="220">
        <v>0.0</v>
      </c>
      <c r="V4" s="220">
        <v>0.0</v>
      </c>
      <c r="W4" s="220">
        <v>0.0</v>
      </c>
      <c r="X4" s="220">
        <v>0.0</v>
      </c>
      <c r="Y4" s="220">
        <v>-19.25</v>
      </c>
      <c r="Z4" s="220">
        <v>-32.0</v>
      </c>
      <c r="AA4" s="220">
        <v>-21.39</v>
      </c>
      <c r="AB4" s="220">
        <v>0.0</v>
      </c>
      <c r="AC4" s="220">
        <v>0.0</v>
      </c>
      <c r="AD4" s="220">
        <v>166.6</v>
      </c>
      <c r="AE4" s="220">
        <f>IF('2025Sep1-2025Sep30CustomUnified'!$C4="order",'2025Sep1-2025Sep30CustomUnified'!$O4,0)</f>
        <v>219.99</v>
      </c>
      <c r="AF4" s="220">
        <f>IF('2025Sep1-2025Sep30CustomUnified'!$C4="refund",'2025Sep1-2025Sep30CustomUnified'!$O4,0)</f>
        <v>0</v>
      </c>
      <c r="AG4" s="220">
        <f>SUM('2025Sep1-2025Sep30CustomUnified'!$AE4:$AF4)</f>
        <v>219.99</v>
      </c>
      <c r="AH4" s="220">
        <f>IF('2025Sep1-2025Sep30CustomUnified'!$C4="order",'2025Sep1-2025Sep30CustomUnified'!$G4,0)</f>
        <v>1</v>
      </c>
      <c r="AI4" s="220">
        <f>IF('2025Sep1-2025Sep30CustomUnified'!$C4="refund",-'2025Sep1-2025Sep30CustomUnified'!$G4,0)</f>
        <v>0</v>
      </c>
      <c r="AJ4" s="220">
        <f>SUM('2025Sep1-2025Sep30CustomUnified'!$AH4:$AI4)</f>
        <v>1</v>
      </c>
      <c r="AK4" s="220">
        <f>'2025Sep1-2025Sep30CustomUnified'!$Z4</f>
        <v>-32</v>
      </c>
      <c r="AL4" s="220">
        <f>'2025Sep1-2025Sep30CustomUnified'!$AA4+'2025Sep1-2025Sep30CustomUnified'!$W4+'2025Sep1-2025Sep30CustomUnified'!$U4+'2025Sep1-2025Sep30CustomUnified'!$S4+'2025Sep1-2025Sep30CustomUnified'!$Q4</f>
        <v>-21.39</v>
      </c>
      <c r="AM4" s="220">
        <f>SUM('2025Sep1-2025Sep30CustomUnified'!$AB4:$AC4)</f>
        <v>0</v>
      </c>
      <c r="AN4" s="220">
        <f>SUM('2025Sep1-2025Sep30CustomUnified'!$AK4:$AM4)</f>
        <v>-53.39</v>
      </c>
      <c r="AO4" s="220">
        <f>'2025Sep1-2025Sep30CustomUnified'!$AG4+'2025Sep1-2025Sep30CustomUnified'!$AN4</f>
        <v>166.6</v>
      </c>
    </row>
    <row r="5" hidden="1">
      <c r="A5" s="220" t="s">
        <v>461</v>
      </c>
      <c r="B5" s="220">
        <v>2.4342675541E10</v>
      </c>
      <c r="C5" s="220" t="s">
        <v>443</v>
      </c>
      <c r="D5" s="220" t="s">
        <v>462</v>
      </c>
      <c r="E5" s="220" t="s">
        <v>222</v>
      </c>
      <c r="F5" s="220" t="s">
        <v>445</v>
      </c>
      <c r="G5" s="220">
        <v>1.0</v>
      </c>
      <c r="H5" s="220" t="s">
        <v>446</v>
      </c>
      <c r="I5" s="220" t="s">
        <v>447</v>
      </c>
      <c r="J5" s="220" t="s">
        <v>448</v>
      </c>
      <c r="K5" s="220" t="s">
        <v>463</v>
      </c>
      <c r="L5" s="220" t="s">
        <v>464</v>
      </c>
      <c r="M5" s="220">
        <v>97013.0</v>
      </c>
      <c r="N5" s="220"/>
      <c r="O5" s="220">
        <v>129.99</v>
      </c>
      <c r="P5" s="220">
        <v>0.0</v>
      </c>
      <c r="Q5" s="220">
        <v>0.0</v>
      </c>
      <c r="R5" s="220">
        <v>0.0</v>
      </c>
      <c r="S5" s="220">
        <v>0.0</v>
      </c>
      <c r="T5" s="220">
        <v>0.0</v>
      </c>
      <c r="U5" s="220">
        <v>0.0</v>
      </c>
      <c r="V5" s="220">
        <v>0.0</v>
      </c>
      <c r="W5" s="220">
        <v>-6.5</v>
      </c>
      <c r="X5" s="220">
        <v>0.0</v>
      </c>
      <c r="Y5" s="220">
        <v>0.0</v>
      </c>
      <c r="Z5" s="220">
        <v>-18.52</v>
      </c>
      <c r="AA5" s="220">
        <v>-16.45</v>
      </c>
      <c r="AB5" s="220">
        <v>0.0</v>
      </c>
      <c r="AC5" s="220">
        <v>0.0</v>
      </c>
      <c r="AD5" s="220">
        <v>88.52</v>
      </c>
      <c r="AE5" s="220">
        <f>IF('2025Sep1-2025Sep30CustomUnified'!$C5="order",'2025Sep1-2025Sep30CustomUnified'!$O5,0)</f>
        <v>129.99</v>
      </c>
      <c r="AF5" s="220">
        <f>IF('2025Sep1-2025Sep30CustomUnified'!$C5="refund",'2025Sep1-2025Sep30CustomUnified'!$O5,0)</f>
        <v>0</v>
      </c>
      <c r="AG5" s="220">
        <f>SUM('2025Sep1-2025Sep30CustomUnified'!$AE5:$AF5)</f>
        <v>129.99</v>
      </c>
      <c r="AH5" s="220">
        <f>IF('2025Sep1-2025Sep30CustomUnified'!$C5="order",'2025Sep1-2025Sep30CustomUnified'!$G5,0)</f>
        <v>1</v>
      </c>
      <c r="AI5" s="220">
        <f>IF('2025Sep1-2025Sep30CustomUnified'!$C5="refund",-'2025Sep1-2025Sep30CustomUnified'!$G5,0)</f>
        <v>0</v>
      </c>
      <c r="AJ5" s="220">
        <f>SUM('2025Sep1-2025Sep30CustomUnified'!$AH5:$AI5)</f>
        <v>1</v>
      </c>
      <c r="AK5" s="220">
        <f>'2025Sep1-2025Sep30CustomUnified'!$Z5</f>
        <v>-18.52</v>
      </c>
      <c r="AL5" s="220">
        <f>'2025Sep1-2025Sep30CustomUnified'!$AA5+'2025Sep1-2025Sep30CustomUnified'!$W5+'2025Sep1-2025Sep30CustomUnified'!$U5+'2025Sep1-2025Sep30CustomUnified'!$S5+'2025Sep1-2025Sep30CustomUnified'!$Q5</f>
        <v>-22.95</v>
      </c>
      <c r="AM5" s="220">
        <f>SUM('2025Sep1-2025Sep30CustomUnified'!$AB5:$AC5)</f>
        <v>0</v>
      </c>
      <c r="AN5" s="220">
        <f>SUM('2025Sep1-2025Sep30CustomUnified'!$AK5:$AM5)</f>
        <v>-41.47</v>
      </c>
      <c r="AO5" s="220">
        <f>'2025Sep1-2025Sep30CustomUnified'!$AG5+'2025Sep1-2025Sep30CustomUnified'!$AN5</f>
        <v>88.52</v>
      </c>
    </row>
    <row r="6">
      <c r="A6" s="220" t="s">
        <v>465</v>
      </c>
      <c r="B6" s="220">
        <v>2.4342675541E10</v>
      </c>
      <c r="C6" s="220" t="s">
        <v>466</v>
      </c>
      <c r="D6" s="220" t="s">
        <v>467</v>
      </c>
      <c r="E6" s="220" t="s">
        <v>225</v>
      </c>
      <c r="F6" s="220" t="s">
        <v>468</v>
      </c>
      <c r="G6" s="220">
        <v>1.0</v>
      </c>
      <c r="H6" s="220" t="s">
        <v>446</v>
      </c>
      <c r="I6" s="220" t="s">
        <v>447</v>
      </c>
      <c r="J6" s="220" t="s">
        <v>448</v>
      </c>
      <c r="K6" s="220" t="s">
        <v>469</v>
      </c>
      <c r="L6" s="220" t="s">
        <v>470</v>
      </c>
      <c r="M6" s="220">
        <v>49090.0</v>
      </c>
      <c r="N6" s="220" t="s">
        <v>451</v>
      </c>
      <c r="O6" s="220">
        <v>-125.99</v>
      </c>
      <c r="P6" s="220">
        <v>-7.18</v>
      </c>
      <c r="Q6" s="220">
        <v>0.0</v>
      </c>
      <c r="R6" s="220">
        <v>0.0</v>
      </c>
      <c r="S6" s="220">
        <v>0.0</v>
      </c>
      <c r="T6" s="220">
        <v>0.0</v>
      </c>
      <c r="U6" s="220">
        <v>0.0</v>
      </c>
      <c r="V6" s="220">
        <v>0.0</v>
      </c>
      <c r="W6" s="220">
        <v>6.3</v>
      </c>
      <c r="X6" s="220">
        <v>0.0</v>
      </c>
      <c r="Y6" s="220">
        <v>7.18</v>
      </c>
      <c r="Z6" s="220">
        <v>14.36</v>
      </c>
      <c r="AA6" s="220">
        <v>0.0</v>
      </c>
      <c r="AB6" s="220">
        <v>0.0</v>
      </c>
      <c r="AC6" s="220">
        <v>0.0</v>
      </c>
      <c r="AD6" s="220">
        <v>-105.33</v>
      </c>
      <c r="AE6" s="220">
        <f>IF('2025Sep1-2025Sep30CustomUnified'!$C6="order",'2025Sep1-2025Sep30CustomUnified'!$O6,0)</f>
        <v>0</v>
      </c>
      <c r="AF6" s="220">
        <f>IF('2025Sep1-2025Sep30CustomUnified'!$C6="refund",'2025Sep1-2025Sep30CustomUnified'!$O6,0)</f>
        <v>-125.99</v>
      </c>
      <c r="AG6" s="220">
        <f>SUM('2025Sep1-2025Sep30CustomUnified'!$AE6:$AF6)</f>
        <v>-125.99</v>
      </c>
      <c r="AH6" s="220">
        <f>IF('2025Sep1-2025Sep30CustomUnified'!$C6="order",'2025Sep1-2025Sep30CustomUnified'!$G6,0)</f>
        <v>0</v>
      </c>
      <c r="AI6" s="220">
        <f>IF('2025Sep1-2025Sep30CustomUnified'!$C6="refund",-'2025Sep1-2025Sep30CustomUnified'!$G6,0)</f>
        <v>-1</v>
      </c>
      <c r="AJ6" s="220">
        <f>SUM('2025Sep1-2025Sep30CustomUnified'!$AH6:$AI6)</f>
        <v>-1</v>
      </c>
      <c r="AK6" s="220">
        <f>'2025Sep1-2025Sep30CustomUnified'!$Z6</f>
        <v>14.36</v>
      </c>
      <c r="AL6" s="220">
        <f>'2025Sep1-2025Sep30CustomUnified'!$AA6+'2025Sep1-2025Sep30CustomUnified'!$W6+'2025Sep1-2025Sep30CustomUnified'!$U6+'2025Sep1-2025Sep30CustomUnified'!$S6+'2025Sep1-2025Sep30CustomUnified'!$Q6</f>
        <v>6.3</v>
      </c>
      <c r="AM6" s="220">
        <f>SUM('2025Sep1-2025Sep30CustomUnified'!$AB6:$AC6)</f>
        <v>0</v>
      </c>
      <c r="AN6" s="220">
        <f>SUM('2025Sep1-2025Sep30CustomUnified'!$AK6:$AM6)</f>
        <v>20.66</v>
      </c>
      <c r="AO6" s="220">
        <f>'2025Sep1-2025Sep30CustomUnified'!$AG6+'2025Sep1-2025Sep30CustomUnified'!$AN6</f>
        <v>-105.33</v>
      </c>
    </row>
    <row r="7" hidden="1">
      <c r="A7" s="220" t="s">
        <v>471</v>
      </c>
      <c r="B7" s="220">
        <v>2.4342675541E10</v>
      </c>
      <c r="C7" s="220" t="s">
        <v>443</v>
      </c>
      <c r="D7" s="220" t="s">
        <v>462</v>
      </c>
      <c r="E7" s="220" t="s">
        <v>222</v>
      </c>
      <c r="F7" s="220" t="s">
        <v>445</v>
      </c>
      <c r="G7" s="220">
        <v>1.0</v>
      </c>
      <c r="H7" s="220" t="s">
        <v>446</v>
      </c>
      <c r="I7" s="220" t="s">
        <v>447</v>
      </c>
      <c r="J7" s="220" t="s">
        <v>448</v>
      </c>
      <c r="K7" s="220" t="s">
        <v>463</v>
      </c>
      <c r="L7" s="220" t="s">
        <v>464</v>
      </c>
      <c r="M7" s="220">
        <v>97013.0</v>
      </c>
      <c r="N7" s="220"/>
      <c r="O7" s="220">
        <v>129.99</v>
      </c>
      <c r="P7" s="220">
        <v>0.0</v>
      </c>
      <c r="Q7" s="220">
        <v>0.0</v>
      </c>
      <c r="R7" s="220">
        <v>0.0</v>
      </c>
      <c r="S7" s="220">
        <v>0.0</v>
      </c>
      <c r="T7" s="220">
        <v>0.0</v>
      </c>
      <c r="U7" s="220">
        <v>0.0</v>
      </c>
      <c r="V7" s="220">
        <v>0.0</v>
      </c>
      <c r="W7" s="220">
        <v>-6.5</v>
      </c>
      <c r="X7" s="220">
        <v>0.0</v>
      </c>
      <c r="Y7" s="220">
        <v>0.0</v>
      </c>
      <c r="Z7" s="220">
        <v>-18.52</v>
      </c>
      <c r="AA7" s="220">
        <v>-16.45</v>
      </c>
      <c r="AB7" s="220">
        <v>0.0</v>
      </c>
      <c r="AC7" s="220">
        <v>0.0</v>
      </c>
      <c r="AD7" s="220">
        <v>88.52</v>
      </c>
      <c r="AE7" s="220">
        <f>IF('2025Sep1-2025Sep30CustomUnified'!$C7="order",'2025Sep1-2025Sep30CustomUnified'!$O7,0)</f>
        <v>129.99</v>
      </c>
      <c r="AF7" s="220">
        <f>IF('2025Sep1-2025Sep30CustomUnified'!$C7="refund",'2025Sep1-2025Sep30CustomUnified'!$O7,0)</f>
        <v>0</v>
      </c>
      <c r="AG7" s="220">
        <f>SUM('2025Sep1-2025Sep30CustomUnified'!$AE7:$AF7)</f>
        <v>129.99</v>
      </c>
      <c r="AH7" s="220">
        <f>IF('2025Sep1-2025Sep30CustomUnified'!$C7="order",'2025Sep1-2025Sep30CustomUnified'!$G7,0)</f>
        <v>1</v>
      </c>
      <c r="AI7" s="220">
        <f>IF('2025Sep1-2025Sep30CustomUnified'!$C7="refund",-'2025Sep1-2025Sep30CustomUnified'!$G7,0)</f>
        <v>0</v>
      </c>
      <c r="AJ7" s="220">
        <f>SUM('2025Sep1-2025Sep30CustomUnified'!$AH7:$AI7)</f>
        <v>1</v>
      </c>
      <c r="AK7" s="220">
        <f>'2025Sep1-2025Sep30CustomUnified'!$Z7</f>
        <v>-18.52</v>
      </c>
      <c r="AL7" s="220">
        <f>'2025Sep1-2025Sep30CustomUnified'!$AA7+'2025Sep1-2025Sep30CustomUnified'!$W7+'2025Sep1-2025Sep30CustomUnified'!$U7+'2025Sep1-2025Sep30CustomUnified'!$S7+'2025Sep1-2025Sep30CustomUnified'!$Q7</f>
        <v>-22.95</v>
      </c>
      <c r="AM7" s="220">
        <f>SUM('2025Sep1-2025Sep30CustomUnified'!$AB7:$AC7)</f>
        <v>0</v>
      </c>
      <c r="AN7" s="220">
        <f>SUM('2025Sep1-2025Sep30CustomUnified'!$AK7:$AM7)</f>
        <v>-41.47</v>
      </c>
      <c r="AO7" s="220">
        <f>'2025Sep1-2025Sep30CustomUnified'!$AG7+'2025Sep1-2025Sep30CustomUnified'!$AN7</f>
        <v>88.52</v>
      </c>
    </row>
    <row r="8" hidden="1">
      <c r="A8" s="220" t="s">
        <v>472</v>
      </c>
      <c r="B8" s="220">
        <v>2.4342675541E10</v>
      </c>
      <c r="C8" s="220" t="s">
        <v>443</v>
      </c>
      <c r="D8" s="220" t="s">
        <v>473</v>
      </c>
      <c r="E8" s="220" t="s">
        <v>222</v>
      </c>
      <c r="F8" s="220" t="s">
        <v>445</v>
      </c>
      <c r="G8" s="220">
        <v>1.0</v>
      </c>
      <c r="H8" s="220" t="s">
        <v>446</v>
      </c>
      <c r="I8" s="220" t="s">
        <v>447</v>
      </c>
      <c r="J8" s="220" t="s">
        <v>448</v>
      </c>
      <c r="K8" s="220" t="s">
        <v>474</v>
      </c>
      <c r="L8" s="220" t="s">
        <v>475</v>
      </c>
      <c r="M8" s="220">
        <v>33066.0</v>
      </c>
      <c r="N8" s="220" t="s">
        <v>451</v>
      </c>
      <c r="O8" s="220">
        <v>129.99</v>
      </c>
      <c r="P8" s="220">
        <v>9.1</v>
      </c>
      <c r="Q8" s="220">
        <v>0.0</v>
      </c>
      <c r="R8" s="220">
        <v>0.0</v>
      </c>
      <c r="S8" s="220">
        <v>0.0</v>
      </c>
      <c r="T8" s="220">
        <v>0.0</v>
      </c>
      <c r="U8" s="220">
        <v>0.0</v>
      </c>
      <c r="V8" s="220">
        <v>0.0</v>
      </c>
      <c r="W8" s="220">
        <v>0.0</v>
      </c>
      <c r="X8" s="220">
        <v>0.0</v>
      </c>
      <c r="Y8" s="220">
        <v>-9.1</v>
      </c>
      <c r="Z8" s="220">
        <v>-19.5</v>
      </c>
      <c r="AA8" s="220">
        <v>-16.45</v>
      </c>
      <c r="AB8" s="220">
        <v>0.0</v>
      </c>
      <c r="AC8" s="220">
        <v>0.0</v>
      </c>
      <c r="AD8" s="220">
        <v>94.04</v>
      </c>
      <c r="AE8" s="220">
        <f>IF('2025Sep1-2025Sep30CustomUnified'!$C8="order",'2025Sep1-2025Sep30CustomUnified'!$O8,0)</f>
        <v>129.99</v>
      </c>
      <c r="AF8" s="220">
        <f>IF('2025Sep1-2025Sep30CustomUnified'!$C8="refund",'2025Sep1-2025Sep30CustomUnified'!$O8,0)</f>
        <v>0</v>
      </c>
      <c r="AG8" s="220">
        <f>SUM('2025Sep1-2025Sep30CustomUnified'!$AE8:$AF8)</f>
        <v>129.99</v>
      </c>
      <c r="AH8" s="220">
        <f>IF('2025Sep1-2025Sep30CustomUnified'!$C8="order",'2025Sep1-2025Sep30CustomUnified'!$G8,0)</f>
        <v>1</v>
      </c>
      <c r="AI8" s="220">
        <f>IF('2025Sep1-2025Sep30CustomUnified'!$C8="refund",-'2025Sep1-2025Sep30CustomUnified'!$G8,0)</f>
        <v>0</v>
      </c>
      <c r="AJ8" s="220">
        <f>SUM('2025Sep1-2025Sep30CustomUnified'!$AH8:$AI8)</f>
        <v>1</v>
      </c>
      <c r="AK8" s="220">
        <f>'2025Sep1-2025Sep30CustomUnified'!$Z8</f>
        <v>-19.5</v>
      </c>
      <c r="AL8" s="220">
        <f>'2025Sep1-2025Sep30CustomUnified'!$AA8+'2025Sep1-2025Sep30CustomUnified'!$W8+'2025Sep1-2025Sep30CustomUnified'!$U8+'2025Sep1-2025Sep30CustomUnified'!$S8+'2025Sep1-2025Sep30CustomUnified'!$Q8</f>
        <v>-16.45</v>
      </c>
      <c r="AM8" s="220">
        <f>SUM('2025Sep1-2025Sep30CustomUnified'!$AB8:$AC8)</f>
        <v>0</v>
      </c>
      <c r="AN8" s="220">
        <f>SUM('2025Sep1-2025Sep30CustomUnified'!$AK8:$AM8)</f>
        <v>-35.95</v>
      </c>
      <c r="AO8" s="220">
        <f>'2025Sep1-2025Sep30CustomUnified'!$AG8+'2025Sep1-2025Sep30CustomUnified'!$AN8</f>
        <v>94.04</v>
      </c>
    </row>
    <row r="9">
      <c r="A9" s="220" t="s">
        <v>476</v>
      </c>
      <c r="B9" s="220">
        <v>2.4342675541E10</v>
      </c>
      <c r="C9" s="220" t="s">
        <v>443</v>
      </c>
      <c r="D9" s="220" t="s">
        <v>467</v>
      </c>
      <c r="E9" s="220" t="s">
        <v>225</v>
      </c>
      <c r="F9" s="220" t="s">
        <v>468</v>
      </c>
      <c r="G9" s="220">
        <v>1.0</v>
      </c>
      <c r="H9" s="220" t="s">
        <v>446</v>
      </c>
      <c r="I9" s="220" t="s">
        <v>447</v>
      </c>
      <c r="J9" s="220" t="s">
        <v>448</v>
      </c>
      <c r="K9" s="220" t="s">
        <v>469</v>
      </c>
      <c r="L9" s="220" t="s">
        <v>470</v>
      </c>
      <c r="M9" s="220">
        <v>49090.0</v>
      </c>
      <c r="N9" s="220" t="s">
        <v>451</v>
      </c>
      <c r="O9" s="220">
        <v>125.99</v>
      </c>
      <c r="P9" s="220">
        <v>7.18</v>
      </c>
      <c r="Q9" s="220">
        <v>0.0</v>
      </c>
      <c r="R9" s="220">
        <v>0.0</v>
      </c>
      <c r="S9" s="220">
        <v>0.0</v>
      </c>
      <c r="T9" s="220">
        <v>0.0</v>
      </c>
      <c r="U9" s="220">
        <v>0.0</v>
      </c>
      <c r="V9" s="220">
        <v>0.0</v>
      </c>
      <c r="W9" s="220">
        <v>-6.3</v>
      </c>
      <c r="X9" s="220">
        <v>0.0</v>
      </c>
      <c r="Y9" s="220">
        <v>-7.18</v>
      </c>
      <c r="Z9" s="220">
        <v>-17.95</v>
      </c>
      <c r="AA9" s="220">
        <v>-25.95</v>
      </c>
      <c r="AB9" s="220">
        <v>0.0</v>
      </c>
      <c r="AC9" s="220">
        <v>0.0</v>
      </c>
      <c r="AD9" s="220">
        <v>75.79</v>
      </c>
      <c r="AE9" s="220">
        <f>IF('2025Sep1-2025Sep30CustomUnified'!$C9="order",'2025Sep1-2025Sep30CustomUnified'!$O9,0)</f>
        <v>125.99</v>
      </c>
      <c r="AF9" s="220">
        <f>IF('2025Sep1-2025Sep30CustomUnified'!$C9="refund",'2025Sep1-2025Sep30CustomUnified'!$O9,0)</f>
        <v>0</v>
      </c>
      <c r="AG9" s="220">
        <f>SUM('2025Sep1-2025Sep30CustomUnified'!$AE9:$AF9)</f>
        <v>125.99</v>
      </c>
      <c r="AH9" s="220">
        <f>IF('2025Sep1-2025Sep30CustomUnified'!$C9="order",'2025Sep1-2025Sep30CustomUnified'!$G9,0)</f>
        <v>1</v>
      </c>
      <c r="AI9" s="220">
        <f>IF('2025Sep1-2025Sep30CustomUnified'!$C9="refund",-'2025Sep1-2025Sep30CustomUnified'!$G9,0)</f>
        <v>0</v>
      </c>
      <c r="AJ9" s="220">
        <f>SUM('2025Sep1-2025Sep30CustomUnified'!$AH9:$AI9)</f>
        <v>1</v>
      </c>
      <c r="AK9" s="220">
        <f>'2025Sep1-2025Sep30CustomUnified'!$Z9</f>
        <v>-17.95</v>
      </c>
      <c r="AL9" s="220">
        <f>'2025Sep1-2025Sep30CustomUnified'!$AA9+'2025Sep1-2025Sep30CustomUnified'!$W9+'2025Sep1-2025Sep30CustomUnified'!$U9+'2025Sep1-2025Sep30CustomUnified'!$S9+'2025Sep1-2025Sep30CustomUnified'!$Q9</f>
        <v>-32.25</v>
      </c>
      <c r="AM9" s="220">
        <f>SUM('2025Sep1-2025Sep30CustomUnified'!$AB9:$AC9)</f>
        <v>0</v>
      </c>
      <c r="AN9" s="220">
        <f>SUM('2025Sep1-2025Sep30CustomUnified'!$AK9:$AM9)</f>
        <v>-50.2</v>
      </c>
      <c r="AO9" s="220">
        <f>'2025Sep1-2025Sep30CustomUnified'!$AG9+'2025Sep1-2025Sep30CustomUnified'!$AN9</f>
        <v>75.79</v>
      </c>
    </row>
    <row r="10" hidden="1">
      <c r="A10" s="220" t="s">
        <v>477</v>
      </c>
      <c r="B10" s="220">
        <v>2.4342675541E10</v>
      </c>
      <c r="C10" s="220" t="s">
        <v>443</v>
      </c>
      <c r="D10" s="220" t="s">
        <v>478</v>
      </c>
      <c r="E10" s="220" t="s">
        <v>222</v>
      </c>
      <c r="F10" s="220" t="s">
        <v>445</v>
      </c>
      <c r="G10" s="220">
        <v>1.0</v>
      </c>
      <c r="H10" s="220" t="s">
        <v>446</v>
      </c>
      <c r="I10" s="220" t="s">
        <v>447</v>
      </c>
      <c r="J10" s="220" t="s">
        <v>448</v>
      </c>
      <c r="K10" s="220" t="s">
        <v>479</v>
      </c>
      <c r="L10" s="220" t="s">
        <v>480</v>
      </c>
      <c r="M10" s="220">
        <v>30064.0</v>
      </c>
      <c r="N10" s="220" t="s">
        <v>451</v>
      </c>
      <c r="O10" s="220">
        <v>129.99</v>
      </c>
      <c r="P10" s="220">
        <v>7.41</v>
      </c>
      <c r="Q10" s="220">
        <v>0.0</v>
      </c>
      <c r="R10" s="220">
        <v>0.0</v>
      </c>
      <c r="S10" s="220">
        <v>0.0</v>
      </c>
      <c r="T10" s="220">
        <v>0.0</v>
      </c>
      <c r="U10" s="220">
        <v>0.0</v>
      </c>
      <c r="V10" s="220">
        <v>0.0</v>
      </c>
      <c r="W10" s="220">
        <v>-6.5</v>
      </c>
      <c r="X10" s="220">
        <v>0.0</v>
      </c>
      <c r="Y10" s="220">
        <v>-7.41</v>
      </c>
      <c r="Z10" s="220">
        <v>-18.52</v>
      </c>
      <c r="AA10" s="220">
        <v>-16.45</v>
      </c>
      <c r="AB10" s="220">
        <v>0.0</v>
      </c>
      <c r="AC10" s="220">
        <v>0.0</v>
      </c>
      <c r="AD10" s="220">
        <v>88.52</v>
      </c>
      <c r="AE10" s="220">
        <f>IF('2025Sep1-2025Sep30CustomUnified'!$C10="order",'2025Sep1-2025Sep30CustomUnified'!$O10,0)</f>
        <v>129.99</v>
      </c>
      <c r="AF10" s="220">
        <f>IF('2025Sep1-2025Sep30CustomUnified'!$C10="refund",'2025Sep1-2025Sep30CustomUnified'!$O10,0)</f>
        <v>0</v>
      </c>
      <c r="AG10" s="220">
        <f>SUM('2025Sep1-2025Sep30CustomUnified'!$AE10:$AF10)</f>
        <v>129.99</v>
      </c>
      <c r="AH10" s="220">
        <f>IF('2025Sep1-2025Sep30CustomUnified'!$C10="order",'2025Sep1-2025Sep30CustomUnified'!$G10,0)</f>
        <v>1</v>
      </c>
      <c r="AI10" s="220">
        <f>IF('2025Sep1-2025Sep30CustomUnified'!$C10="refund",-'2025Sep1-2025Sep30CustomUnified'!$G10,0)</f>
        <v>0</v>
      </c>
      <c r="AJ10" s="220">
        <f>SUM('2025Sep1-2025Sep30CustomUnified'!$AH10:$AI10)</f>
        <v>1</v>
      </c>
      <c r="AK10" s="220">
        <f>'2025Sep1-2025Sep30CustomUnified'!$Z10</f>
        <v>-18.52</v>
      </c>
      <c r="AL10" s="220">
        <f>'2025Sep1-2025Sep30CustomUnified'!$AA10+'2025Sep1-2025Sep30CustomUnified'!$W10+'2025Sep1-2025Sep30CustomUnified'!$U10+'2025Sep1-2025Sep30CustomUnified'!$S10+'2025Sep1-2025Sep30CustomUnified'!$Q10</f>
        <v>-22.95</v>
      </c>
      <c r="AM10" s="220">
        <f>SUM('2025Sep1-2025Sep30CustomUnified'!$AB10:$AC10)</f>
        <v>0</v>
      </c>
      <c r="AN10" s="220">
        <f>SUM('2025Sep1-2025Sep30CustomUnified'!$AK10:$AM10)</f>
        <v>-41.47</v>
      </c>
      <c r="AO10" s="220">
        <f>'2025Sep1-2025Sep30CustomUnified'!$AG10+'2025Sep1-2025Sep30CustomUnified'!$AN10</f>
        <v>88.52</v>
      </c>
    </row>
    <row r="11" hidden="1">
      <c r="A11" s="220" t="s">
        <v>481</v>
      </c>
      <c r="B11" s="220">
        <v>2.4342675541E10</v>
      </c>
      <c r="C11" s="220" t="s">
        <v>443</v>
      </c>
      <c r="D11" s="220" t="s">
        <v>482</v>
      </c>
      <c r="E11" s="220" t="s">
        <v>228</v>
      </c>
      <c r="F11" s="220" t="s">
        <v>458</v>
      </c>
      <c r="G11" s="220">
        <v>1.0</v>
      </c>
      <c r="H11" s="220" t="s">
        <v>446</v>
      </c>
      <c r="I11" s="220" t="s">
        <v>447</v>
      </c>
      <c r="J11" s="220" t="s">
        <v>448</v>
      </c>
      <c r="K11" s="220" t="s">
        <v>483</v>
      </c>
      <c r="L11" s="220" t="s">
        <v>484</v>
      </c>
      <c r="M11" s="220">
        <v>27703.0</v>
      </c>
      <c r="N11" s="220" t="s">
        <v>451</v>
      </c>
      <c r="O11" s="220">
        <v>219.99</v>
      </c>
      <c r="P11" s="220">
        <v>14.85</v>
      </c>
      <c r="Q11" s="220">
        <v>0.0</v>
      </c>
      <c r="R11" s="220">
        <v>0.0</v>
      </c>
      <c r="S11" s="220">
        <v>0.0</v>
      </c>
      <c r="T11" s="220">
        <v>0.0</v>
      </c>
      <c r="U11" s="220">
        <v>0.0</v>
      </c>
      <c r="V11" s="220">
        <v>0.0</v>
      </c>
      <c r="W11" s="220">
        <v>-22.0</v>
      </c>
      <c r="X11" s="220">
        <v>0.0</v>
      </c>
      <c r="Y11" s="220">
        <v>-14.85</v>
      </c>
      <c r="Z11" s="220">
        <v>-29.7</v>
      </c>
      <c r="AA11" s="220">
        <v>-21.39</v>
      </c>
      <c r="AB11" s="220">
        <v>0.0</v>
      </c>
      <c r="AC11" s="220">
        <v>0.0</v>
      </c>
      <c r="AD11" s="220">
        <v>146.9</v>
      </c>
      <c r="AE11" s="220">
        <f>IF('2025Sep1-2025Sep30CustomUnified'!$C11="order",'2025Sep1-2025Sep30CustomUnified'!$O11,0)</f>
        <v>219.99</v>
      </c>
      <c r="AF11" s="220">
        <f>IF('2025Sep1-2025Sep30CustomUnified'!$C11="refund",'2025Sep1-2025Sep30CustomUnified'!$O11,0)</f>
        <v>0</v>
      </c>
      <c r="AG11" s="220">
        <f>SUM('2025Sep1-2025Sep30CustomUnified'!$AE11:$AF11)</f>
        <v>219.99</v>
      </c>
      <c r="AH11" s="220">
        <f>IF('2025Sep1-2025Sep30CustomUnified'!$C11="order",'2025Sep1-2025Sep30CustomUnified'!$G11,0)</f>
        <v>1</v>
      </c>
      <c r="AI11" s="220">
        <f>IF('2025Sep1-2025Sep30CustomUnified'!$C11="refund",-'2025Sep1-2025Sep30CustomUnified'!$G11,0)</f>
        <v>0</v>
      </c>
      <c r="AJ11" s="220">
        <f>SUM('2025Sep1-2025Sep30CustomUnified'!$AH11:$AI11)</f>
        <v>1</v>
      </c>
      <c r="AK11" s="220">
        <f>'2025Sep1-2025Sep30CustomUnified'!$Z11</f>
        <v>-29.7</v>
      </c>
      <c r="AL11" s="220">
        <f>'2025Sep1-2025Sep30CustomUnified'!$AA11+'2025Sep1-2025Sep30CustomUnified'!$W11+'2025Sep1-2025Sep30CustomUnified'!$U11+'2025Sep1-2025Sep30CustomUnified'!$S11+'2025Sep1-2025Sep30CustomUnified'!$Q11</f>
        <v>-43.39</v>
      </c>
      <c r="AM11" s="220">
        <f>SUM('2025Sep1-2025Sep30CustomUnified'!$AB11:$AC11)</f>
        <v>0</v>
      </c>
      <c r="AN11" s="220">
        <f>SUM('2025Sep1-2025Sep30CustomUnified'!$AK11:$AM11)</f>
        <v>-73.09</v>
      </c>
      <c r="AO11" s="220">
        <f>'2025Sep1-2025Sep30CustomUnified'!$AG11+'2025Sep1-2025Sep30CustomUnified'!$AN11</f>
        <v>146.9</v>
      </c>
    </row>
    <row r="12" hidden="1">
      <c r="A12" s="220" t="s">
        <v>485</v>
      </c>
      <c r="B12" s="220">
        <v>2.4342675541E10</v>
      </c>
      <c r="C12" s="220" t="s">
        <v>443</v>
      </c>
      <c r="D12" s="220" t="s">
        <v>486</v>
      </c>
      <c r="E12" s="220" t="s">
        <v>391</v>
      </c>
      <c r="F12" s="220" t="s">
        <v>487</v>
      </c>
      <c r="G12" s="220">
        <v>1.0</v>
      </c>
      <c r="H12" s="220" t="s">
        <v>446</v>
      </c>
      <c r="I12" s="220" t="s">
        <v>447</v>
      </c>
      <c r="J12" s="220" t="s">
        <v>488</v>
      </c>
      <c r="K12" s="220" t="s">
        <v>489</v>
      </c>
      <c r="L12" s="220" t="s">
        <v>455</v>
      </c>
      <c r="M12" s="220">
        <v>90049.0</v>
      </c>
      <c r="N12" s="220" t="s">
        <v>451</v>
      </c>
      <c r="O12" s="220">
        <v>699.99</v>
      </c>
      <c r="P12" s="220">
        <v>68.25</v>
      </c>
      <c r="Q12" s="220">
        <v>0.0</v>
      </c>
      <c r="R12" s="220">
        <v>0.0</v>
      </c>
      <c r="S12" s="220">
        <v>0.0</v>
      </c>
      <c r="T12" s="220">
        <v>0.0</v>
      </c>
      <c r="U12" s="220">
        <v>0.0</v>
      </c>
      <c r="V12" s="220">
        <v>0.0</v>
      </c>
      <c r="W12" s="220">
        <v>0.0</v>
      </c>
      <c r="X12" s="220">
        <v>0.0</v>
      </c>
      <c r="Y12" s="220">
        <v>-68.25</v>
      </c>
      <c r="Z12" s="220">
        <v>-80.0</v>
      </c>
      <c r="AA12" s="220">
        <v>0.0</v>
      </c>
      <c r="AB12" s="220">
        <v>0.0</v>
      </c>
      <c r="AC12" s="220">
        <v>0.0</v>
      </c>
      <c r="AD12" s="220">
        <v>619.99</v>
      </c>
      <c r="AE12" s="220">
        <f>IF('2025Sep1-2025Sep30CustomUnified'!$C12="order",'2025Sep1-2025Sep30CustomUnified'!$O12,0)</f>
        <v>699.99</v>
      </c>
      <c r="AF12" s="220">
        <f>IF('2025Sep1-2025Sep30CustomUnified'!$C12="refund",'2025Sep1-2025Sep30CustomUnified'!$O12,0)</f>
        <v>0</v>
      </c>
      <c r="AG12" s="220">
        <f>SUM('2025Sep1-2025Sep30CustomUnified'!$AE12:$AF12)</f>
        <v>699.99</v>
      </c>
      <c r="AH12" s="220">
        <f>IF('2025Sep1-2025Sep30CustomUnified'!$C12="order",'2025Sep1-2025Sep30CustomUnified'!$G12,0)</f>
        <v>1</v>
      </c>
      <c r="AI12" s="220">
        <f>IF('2025Sep1-2025Sep30CustomUnified'!$C12="refund",-'2025Sep1-2025Sep30CustomUnified'!$G12,0)</f>
        <v>0</v>
      </c>
      <c r="AJ12" s="220">
        <f>SUM('2025Sep1-2025Sep30CustomUnified'!$AH12:$AI12)</f>
        <v>1</v>
      </c>
      <c r="AK12" s="220">
        <f>'2025Sep1-2025Sep30CustomUnified'!$Z12</f>
        <v>-80</v>
      </c>
      <c r="AL12" s="220">
        <f>'2025Sep1-2025Sep30CustomUnified'!$AA12+'2025Sep1-2025Sep30CustomUnified'!$W12+'2025Sep1-2025Sep30CustomUnified'!$U12+'2025Sep1-2025Sep30CustomUnified'!$S12+'2025Sep1-2025Sep30CustomUnified'!$Q12</f>
        <v>0</v>
      </c>
      <c r="AM12" s="220">
        <f>SUM('2025Sep1-2025Sep30CustomUnified'!$AB12:$AC12)</f>
        <v>0</v>
      </c>
      <c r="AN12" s="220">
        <f>SUM('2025Sep1-2025Sep30CustomUnified'!$AK12:$AM12)</f>
        <v>-80</v>
      </c>
      <c r="AO12" s="220">
        <f>'2025Sep1-2025Sep30CustomUnified'!$AG12+'2025Sep1-2025Sep30CustomUnified'!$AN12</f>
        <v>619.99</v>
      </c>
    </row>
    <row r="13" hidden="1">
      <c r="A13" s="220" t="s">
        <v>490</v>
      </c>
      <c r="B13" s="220">
        <v>2.4342675541E10</v>
      </c>
      <c r="C13" s="220" t="s">
        <v>466</v>
      </c>
      <c r="D13" s="220" t="s">
        <v>491</v>
      </c>
      <c r="E13" s="220" t="s">
        <v>389</v>
      </c>
      <c r="F13" s="220" t="s">
        <v>492</v>
      </c>
      <c r="G13" s="220">
        <v>1.0</v>
      </c>
      <c r="H13" s="220" t="s">
        <v>446</v>
      </c>
      <c r="I13" s="220" t="s">
        <v>447</v>
      </c>
      <c r="J13" s="220" t="s">
        <v>448</v>
      </c>
      <c r="K13" s="220" t="s">
        <v>489</v>
      </c>
      <c r="L13" s="220" t="s">
        <v>455</v>
      </c>
      <c r="M13" s="220">
        <v>90049.0</v>
      </c>
      <c r="N13" s="220" t="s">
        <v>451</v>
      </c>
      <c r="O13" s="220">
        <v>-649.99</v>
      </c>
      <c r="P13" s="220">
        <v>-63.37</v>
      </c>
      <c r="Q13" s="220">
        <v>0.0</v>
      </c>
      <c r="R13" s="220">
        <v>0.0</v>
      </c>
      <c r="S13" s="220">
        <v>0.0</v>
      </c>
      <c r="T13" s="220">
        <v>0.0</v>
      </c>
      <c r="U13" s="220">
        <v>0.0</v>
      </c>
      <c r="V13" s="220">
        <v>0.0</v>
      </c>
      <c r="W13" s="220">
        <v>0.0</v>
      </c>
      <c r="X13" s="220">
        <v>0.0</v>
      </c>
      <c r="Y13" s="220">
        <v>63.37</v>
      </c>
      <c r="Z13" s="220">
        <v>70.0</v>
      </c>
      <c r="AA13" s="220">
        <v>0.0</v>
      </c>
      <c r="AB13" s="220">
        <v>0.0</v>
      </c>
      <c r="AC13" s="220">
        <v>0.0</v>
      </c>
      <c r="AD13" s="220">
        <v>-579.99</v>
      </c>
      <c r="AE13" s="220">
        <f>IF('2025Sep1-2025Sep30CustomUnified'!$C13="order",'2025Sep1-2025Sep30CustomUnified'!$O13,0)</f>
        <v>0</v>
      </c>
      <c r="AF13" s="220">
        <f>IF('2025Sep1-2025Sep30CustomUnified'!$C13="refund",'2025Sep1-2025Sep30CustomUnified'!$O13,0)</f>
        <v>-649.99</v>
      </c>
      <c r="AG13" s="220">
        <f>SUM('2025Sep1-2025Sep30CustomUnified'!$AE13:$AF13)</f>
        <v>-649.99</v>
      </c>
      <c r="AH13" s="220">
        <f>IF('2025Sep1-2025Sep30CustomUnified'!$C13="order",'2025Sep1-2025Sep30CustomUnified'!$G13,0)</f>
        <v>0</v>
      </c>
      <c r="AI13" s="220">
        <f>IF('2025Sep1-2025Sep30CustomUnified'!$C13="refund",-'2025Sep1-2025Sep30CustomUnified'!$G13,0)</f>
        <v>-1</v>
      </c>
      <c r="AJ13" s="220">
        <f>SUM('2025Sep1-2025Sep30CustomUnified'!$AH13:$AI13)</f>
        <v>-1</v>
      </c>
      <c r="AK13" s="220">
        <f>'2025Sep1-2025Sep30CustomUnified'!$Z13</f>
        <v>70</v>
      </c>
      <c r="AL13" s="220">
        <f>'2025Sep1-2025Sep30CustomUnified'!$AA13+'2025Sep1-2025Sep30CustomUnified'!$W13+'2025Sep1-2025Sep30CustomUnified'!$U13+'2025Sep1-2025Sep30CustomUnified'!$S13+'2025Sep1-2025Sep30CustomUnified'!$Q13</f>
        <v>0</v>
      </c>
      <c r="AM13" s="220">
        <f>SUM('2025Sep1-2025Sep30CustomUnified'!$AB13:$AC13)</f>
        <v>0</v>
      </c>
      <c r="AN13" s="220">
        <f>SUM('2025Sep1-2025Sep30CustomUnified'!$AK13:$AM13)</f>
        <v>70</v>
      </c>
      <c r="AO13" s="220">
        <f>'2025Sep1-2025Sep30CustomUnified'!$AG13+'2025Sep1-2025Sep30CustomUnified'!$AN13</f>
        <v>-579.99</v>
      </c>
    </row>
    <row r="14" hidden="1">
      <c r="A14" s="220" t="s">
        <v>493</v>
      </c>
      <c r="B14" s="220">
        <v>2.4342675541E10</v>
      </c>
      <c r="C14" s="220" t="s">
        <v>443</v>
      </c>
      <c r="D14" s="220" t="s">
        <v>494</v>
      </c>
      <c r="E14" s="220" t="s">
        <v>224</v>
      </c>
      <c r="F14" s="220" t="s">
        <v>495</v>
      </c>
      <c r="G14" s="220">
        <v>1.0</v>
      </c>
      <c r="H14" s="220" t="s">
        <v>446</v>
      </c>
      <c r="I14" s="220" t="s">
        <v>447</v>
      </c>
      <c r="J14" s="220" t="s">
        <v>448</v>
      </c>
      <c r="K14" s="220" t="s">
        <v>496</v>
      </c>
      <c r="L14" s="220" t="s">
        <v>497</v>
      </c>
      <c r="M14" s="220">
        <v>87124.0</v>
      </c>
      <c r="N14" s="220" t="s">
        <v>451</v>
      </c>
      <c r="O14" s="220">
        <v>110.49</v>
      </c>
      <c r="P14" s="220">
        <v>7.81</v>
      </c>
      <c r="Q14" s="220">
        <v>0.0</v>
      </c>
      <c r="R14" s="220">
        <v>0.0</v>
      </c>
      <c r="S14" s="220">
        <v>0.0</v>
      </c>
      <c r="T14" s="220">
        <v>0.0</v>
      </c>
      <c r="U14" s="220">
        <v>0.0</v>
      </c>
      <c r="V14" s="220">
        <v>0.0</v>
      </c>
      <c r="W14" s="220">
        <v>-5.53</v>
      </c>
      <c r="X14" s="220">
        <v>0.0</v>
      </c>
      <c r="Y14" s="220">
        <v>-15.62</v>
      </c>
      <c r="Z14" s="220">
        <v>-31.5</v>
      </c>
      <c r="AA14" s="220">
        <v>-16.45</v>
      </c>
      <c r="AB14" s="220">
        <v>0.0</v>
      </c>
      <c r="AC14" s="220">
        <v>0.0</v>
      </c>
      <c r="AD14" s="220">
        <v>49.2</v>
      </c>
      <c r="AE14" s="220">
        <f>IF('2025Sep1-2025Sep30CustomUnified'!$C14="order",'2025Sep1-2025Sep30CustomUnified'!$O14,0)</f>
        <v>110.49</v>
      </c>
      <c r="AF14" s="220">
        <f>IF('2025Sep1-2025Sep30CustomUnified'!$C14="refund",'2025Sep1-2025Sep30CustomUnified'!$O14,0)</f>
        <v>0</v>
      </c>
      <c r="AG14" s="220">
        <f>SUM('2025Sep1-2025Sep30CustomUnified'!$AE14:$AF14)</f>
        <v>110.49</v>
      </c>
      <c r="AH14" s="220">
        <f>IF('2025Sep1-2025Sep30CustomUnified'!$C14="order",'2025Sep1-2025Sep30CustomUnified'!$G14,0)</f>
        <v>1</v>
      </c>
      <c r="AI14" s="220">
        <f>IF('2025Sep1-2025Sep30CustomUnified'!$C14="refund",-'2025Sep1-2025Sep30CustomUnified'!$G14,0)</f>
        <v>0</v>
      </c>
      <c r="AJ14" s="220">
        <f>SUM('2025Sep1-2025Sep30CustomUnified'!$AH14:$AI14)</f>
        <v>1</v>
      </c>
      <c r="AK14" s="220">
        <f>'2025Sep1-2025Sep30CustomUnified'!$Z14</f>
        <v>-31.5</v>
      </c>
      <c r="AL14" s="220">
        <f>'2025Sep1-2025Sep30CustomUnified'!$AA14+'2025Sep1-2025Sep30CustomUnified'!$W14+'2025Sep1-2025Sep30CustomUnified'!$U14+'2025Sep1-2025Sep30CustomUnified'!$S14+'2025Sep1-2025Sep30CustomUnified'!$Q14</f>
        <v>-21.98</v>
      </c>
      <c r="AM14" s="220">
        <f>SUM('2025Sep1-2025Sep30CustomUnified'!$AB14:$AC14)</f>
        <v>0</v>
      </c>
      <c r="AN14" s="220">
        <f>SUM('2025Sep1-2025Sep30CustomUnified'!$AK14:$AM14)</f>
        <v>-53.48</v>
      </c>
      <c r="AO14" s="220">
        <f>'2025Sep1-2025Sep30CustomUnified'!$AG14+'2025Sep1-2025Sep30CustomUnified'!$AN14</f>
        <v>57.01</v>
      </c>
    </row>
    <row r="15" hidden="1">
      <c r="A15" s="220" t="s">
        <v>493</v>
      </c>
      <c r="B15" s="220">
        <v>2.4342675541E10</v>
      </c>
      <c r="C15" s="220" t="s">
        <v>443</v>
      </c>
      <c r="D15" s="220" t="s">
        <v>494</v>
      </c>
      <c r="E15" s="220" t="s">
        <v>224</v>
      </c>
      <c r="F15" s="220" t="s">
        <v>495</v>
      </c>
      <c r="G15" s="220">
        <v>1.0</v>
      </c>
      <c r="H15" s="220" t="s">
        <v>446</v>
      </c>
      <c r="I15" s="220" t="s">
        <v>447</v>
      </c>
      <c r="J15" s="220" t="s">
        <v>448</v>
      </c>
      <c r="K15" s="220" t="s">
        <v>496</v>
      </c>
      <c r="L15" s="220" t="s">
        <v>497</v>
      </c>
      <c r="M15" s="220">
        <v>87124.0</v>
      </c>
      <c r="N15" s="220"/>
      <c r="O15" s="220">
        <v>110.49</v>
      </c>
      <c r="P15" s="220">
        <v>7.81</v>
      </c>
      <c r="Q15" s="220">
        <v>0.0</v>
      </c>
      <c r="R15" s="220">
        <v>0.0</v>
      </c>
      <c r="S15" s="220">
        <v>0.0</v>
      </c>
      <c r="T15" s="220">
        <v>0.0</v>
      </c>
      <c r="U15" s="220">
        <v>0.0</v>
      </c>
      <c r="V15" s="220">
        <v>0.0</v>
      </c>
      <c r="W15" s="220">
        <v>-5.52</v>
      </c>
      <c r="X15" s="220">
        <v>0.0</v>
      </c>
      <c r="Y15" s="220">
        <v>0.0</v>
      </c>
      <c r="Z15" s="220">
        <v>0.0</v>
      </c>
      <c r="AA15" s="220">
        <v>-16.45</v>
      </c>
      <c r="AB15" s="220">
        <v>0.0</v>
      </c>
      <c r="AC15" s="220">
        <v>0.0</v>
      </c>
      <c r="AD15" s="220">
        <v>96.33</v>
      </c>
      <c r="AE15" s="220">
        <f>IF('2025Sep1-2025Sep30CustomUnified'!$C15="order",'2025Sep1-2025Sep30CustomUnified'!$O15,0)</f>
        <v>110.49</v>
      </c>
      <c r="AF15" s="220">
        <f>IF('2025Sep1-2025Sep30CustomUnified'!$C15="refund",'2025Sep1-2025Sep30CustomUnified'!$O15,0)</f>
        <v>0</v>
      </c>
      <c r="AG15" s="220">
        <f>SUM('2025Sep1-2025Sep30CustomUnified'!$AE15:$AF15)</f>
        <v>110.49</v>
      </c>
      <c r="AH15" s="220">
        <f>IF('2025Sep1-2025Sep30CustomUnified'!$C15="order",'2025Sep1-2025Sep30CustomUnified'!$G15,0)</f>
        <v>1</v>
      </c>
      <c r="AI15" s="220">
        <f>IF('2025Sep1-2025Sep30CustomUnified'!$C15="refund",-'2025Sep1-2025Sep30CustomUnified'!$G15,0)</f>
        <v>0</v>
      </c>
      <c r="AJ15" s="220">
        <f>SUM('2025Sep1-2025Sep30CustomUnified'!$AH15:$AI15)</f>
        <v>1</v>
      </c>
      <c r="AK15" s="220">
        <f>'2025Sep1-2025Sep30CustomUnified'!$Z15</f>
        <v>0</v>
      </c>
      <c r="AL15" s="220">
        <f>'2025Sep1-2025Sep30CustomUnified'!$AA15+'2025Sep1-2025Sep30CustomUnified'!$W15+'2025Sep1-2025Sep30CustomUnified'!$U15+'2025Sep1-2025Sep30CustomUnified'!$S15+'2025Sep1-2025Sep30CustomUnified'!$Q15</f>
        <v>-21.97</v>
      </c>
      <c r="AM15" s="220">
        <f>SUM('2025Sep1-2025Sep30CustomUnified'!$AB15:$AC15)</f>
        <v>0</v>
      </c>
      <c r="AN15" s="220">
        <f>SUM('2025Sep1-2025Sep30CustomUnified'!$AK15:$AM15)</f>
        <v>-21.97</v>
      </c>
      <c r="AO15" s="220">
        <f>'2025Sep1-2025Sep30CustomUnified'!$AG15+'2025Sep1-2025Sep30CustomUnified'!$AN15</f>
        <v>88.52</v>
      </c>
    </row>
    <row r="16" hidden="1">
      <c r="A16" s="220" t="s">
        <v>498</v>
      </c>
      <c r="B16" s="220">
        <v>2.4342675541E10</v>
      </c>
      <c r="C16" s="220" t="s">
        <v>443</v>
      </c>
      <c r="D16" s="220" t="s">
        <v>491</v>
      </c>
      <c r="E16" s="220" t="s">
        <v>389</v>
      </c>
      <c r="F16" s="220" t="s">
        <v>492</v>
      </c>
      <c r="G16" s="220">
        <v>1.0</v>
      </c>
      <c r="H16" s="220" t="s">
        <v>446</v>
      </c>
      <c r="I16" s="220" t="s">
        <v>447</v>
      </c>
      <c r="J16" s="220" t="s">
        <v>448</v>
      </c>
      <c r="K16" s="220" t="s">
        <v>489</v>
      </c>
      <c r="L16" s="220" t="s">
        <v>455</v>
      </c>
      <c r="M16" s="220">
        <v>90049.0</v>
      </c>
      <c r="N16" s="220" t="s">
        <v>451</v>
      </c>
      <c r="O16" s="220">
        <v>649.99</v>
      </c>
      <c r="P16" s="220">
        <v>63.37</v>
      </c>
      <c r="Q16" s="220">
        <v>0.0</v>
      </c>
      <c r="R16" s="220">
        <v>0.0</v>
      </c>
      <c r="S16" s="220">
        <v>0.0</v>
      </c>
      <c r="T16" s="220">
        <v>0.0</v>
      </c>
      <c r="U16" s="220">
        <v>0.0</v>
      </c>
      <c r="V16" s="220">
        <v>0.0</v>
      </c>
      <c r="W16" s="220">
        <v>0.0</v>
      </c>
      <c r="X16" s="220">
        <v>0.0</v>
      </c>
      <c r="Y16" s="220">
        <v>-63.37</v>
      </c>
      <c r="Z16" s="220">
        <v>-75.0</v>
      </c>
      <c r="AA16" s="220">
        <v>-194.95</v>
      </c>
      <c r="AB16" s="220">
        <v>0.0</v>
      </c>
      <c r="AC16" s="220">
        <v>0.0</v>
      </c>
      <c r="AD16" s="220">
        <v>380.04</v>
      </c>
      <c r="AE16" s="220">
        <f>IF('2025Sep1-2025Sep30CustomUnified'!$C16="order",'2025Sep1-2025Sep30CustomUnified'!$O16,0)</f>
        <v>649.99</v>
      </c>
      <c r="AF16" s="220">
        <f>IF('2025Sep1-2025Sep30CustomUnified'!$C16="refund",'2025Sep1-2025Sep30CustomUnified'!$O16,0)</f>
        <v>0</v>
      </c>
      <c r="AG16" s="220">
        <f>SUM('2025Sep1-2025Sep30CustomUnified'!$AE16:$AF16)</f>
        <v>649.99</v>
      </c>
      <c r="AH16" s="220">
        <f>IF('2025Sep1-2025Sep30CustomUnified'!$C16="order",'2025Sep1-2025Sep30CustomUnified'!$G16,0)</f>
        <v>1</v>
      </c>
      <c r="AI16" s="220">
        <f>IF('2025Sep1-2025Sep30CustomUnified'!$C16="refund",-'2025Sep1-2025Sep30CustomUnified'!$G16,0)</f>
        <v>0</v>
      </c>
      <c r="AJ16" s="220">
        <f>SUM('2025Sep1-2025Sep30CustomUnified'!$AH16:$AI16)</f>
        <v>1</v>
      </c>
      <c r="AK16" s="220">
        <f>'2025Sep1-2025Sep30CustomUnified'!$Z16</f>
        <v>-75</v>
      </c>
      <c r="AL16" s="220">
        <f>'2025Sep1-2025Sep30CustomUnified'!$AA16+'2025Sep1-2025Sep30CustomUnified'!$W16+'2025Sep1-2025Sep30CustomUnified'!$U16+'2025Sep1-2025Sep30CustomUnified'!$S16+'2025Sep1-2025Sep30CustomUnified'!$Q16</f>
        <v>-194.95</v>
      </c>
      <c r="AM16" s="220">
        <f>SUM('2025Sep1-2025Sep30CustomUnified'!$AB16:$AC16)</f>
        <v>0</v>
      </c>
      <c r="AN16" s="220">
        <f>SUM('2025Sep1-2025Sep30CustomUnified'!$AK16:$AM16)</f>
        <v>-269.95</v>
      </c>
      <c r="AO16" s="220">
        <f>'2025Sep1-2025Sep30CustomUnified'!$AG16+'2025Sep1-2025Sep30CustomUnified'!$AN16</f>
        <v>380.04</v>
      </c>
    </row>
    <row r="17" hidden="1">
      <c r="A17" s="220" t="s">
        <v>499</v>
      </c>
      <c r="B17" s="220">
        <v>2.4342675541E10</v>
      </c>
      <c r="C17" s="220" t="s">
        <v>443</v>
      </c>
      <c r="D17" s="220" t="s">
        <v>500</v>
      </c>
      <c r="E17" s="220" t="s">
        <v>229</v>
      </c>
      <c r="F17" s="220" t="s">
        <v>501</v>
      </c>
      <c r="G17" s="220">
        <v>1.0</v>
      </c>
      <c r="H17" s="220" t="s">
        <v>446</v>
      </c>
      <c r="I17" s="220" t="s">
        <v>447</v>
      </c>
      <c r="J17" s="220" t="s">
        <v>448</v>
      </c>
      <c r="K17" s="220" t="s">
        <v>502</v>
      </c>
      <c r="L17" s="220" t="s">
        <v>503</v>
      </c>
      <c r="M17" s="220">
        <v>60626.0</v>
      </c>
      <c r="N17" s="220" t="s">
        <v>451</v>
      </c>
      <c r="O17" s="220">
        <v>77.89</v>
      </c>
      <c r="P17" s="220">
        <v>7.59</v>
      </c>
      <c r="Q17" s="220">
        <v>0.0</v>
      </c>
      <c r="R17" s="220">
        <v>0.0</v>
      </c>
      <c r="S17" s="220">
        <v>0.0</v>
      </c>
      <c r="T17" s="220">
        <v>0.0</v>
      </c>
      <c r="U17" s="220">
        <v>0.0</v>
      </c>
      <c r="V17" s="220">
        <v>0.0</v>
      </c>
      <c r="W17" s="220">
        <v>-3.89</v>
      </c>
      <c r="X17" s="220">
        <v>0.0</v>
      </c>
      <c r="Y17" s="220">
        <v>-7.59</v>
      </c>
      <c r="Z17" s="220">
        <v>-11.1</v>
      </c>
      <c r="AA17" s="220">
        <v>-13.03</v>
      </c>
      <c r="AB17" s="220">
        <v>0.0</v>
      </c>
      <c r="AC17" s="220">
        <v>0.0</v>
      </c>
      <c r="AD17" s="220">
        <v>49.87</v>
      </c>
      <c r="AE17" s="220">
        <f>IF('2025Sep1-2025Sep30CustomUnified'!$C17="order",'2025Sep1-2025Sep30CustomUnified'!$O17,0)</f>
        <v>77.89</v>
      </c>
      <c r="AF17" s="220">
        <f>IF('2025Sep1-2025Sep30CustomUnified'!$C17="refund",'2025Sep1-2025Sep30CustomUnified'!$O17,0)</f>
        <v>0</v>
      </c>
      <c r="AG17" s="220">
        <f>SUM('2025Sep1-2025Sep30CustomUnified'!$AE17:$AF17)</f>
        <v>77.89</v>
      </c>
      <c r="AH17" s="220">
        <f>IF('2025Sep1-2025Sep30CustomUnified'!$C17="order",'2025Sep1-2025Sep30CustomUnified'!$G17,0)</f>
        <v>1</v>
      </c>
      <c r="AI17" s="220">
        <f>IF('2025Sep1-2025Sep30CustomUnified'!$C17="refund",-'2025Sep1-2025Sep30CustomUnified'!$G17,0)</f>
        <v>0</v>
      </c>
      <c r="AJ17" s="220">
        <f>SUM('2025Sep1-2025Sep30CustomUnified'!$AH17:$AI17)</f>
        <v>1</v>
      </c>
      <c r="AK17" s="220">
        <f>'2025Sep1-2025Sep30CustomUnified'!$Z17</f>
        <v>-11.1</v>
      </c>
      <c r="AL17" s="220">
        <f>'2025Sep1-2025Sep30CustomUnified'!$AA17+'2025Sep1-2025Sep30CustomUnified'!$W17+'2025Sep1-2025Sep30CustomUnified'!$U17+'2025Sep1-2025Sep30CustomUnified'!$S17+'2025Sep1-2025Sep30CustomUnified'!$Q17</f>
        <v>-16.92</v>
      </c>
      <c r="AM17" s="220">
        <f>SUM('2025Sep1-2025Sep30CustomUnified'!$AB17:$AC17)</f>
        <v>0</v>
      </c>
      <c r="AN17" s="220">
        <f>SUM('2025Sep1-2025Sep30CustomUnified'!$AK17:$AM17)</f>
        <v>-28.02</v>
      </c>
      <c r="AO17" s="220">
        <f>'2025Sep1-2025Sep30CustomUnified'!$AG17+'2025Sep1-2025Sep30CustomUnified'!$AN17</f>
        <v>49.87</v>
      </c>
    </row>
    <row r="18">
      <c r="A18" s="220" t="s">
        <v>504</v>
      </c>
      <c r="B18" s="220">
        <v>2.4342675541E10</v>
      </c>
      <c r="C18" s="220" t="s">
        <v>443</v>
      </c>
      <c r="D18" s="220" t="s">
        <v>505</v>
      </c>
      <c r="E18" s="220" t="s">
        <v>225</v>
      </c>
      <c r="F18" s="220" t="s">
        <v>468</v>
      </c>
      <c r="G18" s="220">
        <v>1.0</v>
      </c>
      <c r="H18" s="220" t="s">
        <v>446</v>
      </c>
      <c r="I18" s="220" t="s">
        <v>447</v>
      </c>
      <c r="J18" s="220" t="s">
        <v>448</v>
      </c>
      <c r="K18" s="220" t="s">
        <v>506</v>
      </c>
      <c r="L18" s="220" t="s">
        <v>484</v>
      </c>
      <c r="M18" s="220">
        <v>28204.0</v>
      </c>
      <c r="N18" s="220" t="s">
        <v>451</v>
      </c>
      <c r="O18" s="220">
        <v>125.99</v>
      </c>
      <c r="P18" s="220">
        <v>8.68</v>
      </c>
      <c r="Q18" s="220">
        <v>0.0</v>
      </c>
      <c r="R18" s="220">
        <v>0.0</v>
      </c>
      <c r="S18" s="220">
        <v>0.0</v>
      </c>
      <c r="T18" s="220">
        <v>0.0</v>
      </c>
      <c r="U18" s="220">
        <v>0.0</v>
      </c>
      <c r="V18" s="220">
        <v>0.0</v>
      </c>
      <c r="W18" s="220">
        <v>-6.3</v>
      </c>
      <c r="X18" s="220">
        <v>0.0</v>
      </c>
      <c r="Y18" s="220">
        <v>-8.68</v>
      </c>
      <c r="Z18" s="220">
        <v>-17.95</v>
      </c>
      <c r="AA18" s="220">
        <v>-25.95</v>
      </c>
      <c r="AB18" s="220">
        <v>0.0</v>
      </c>
      <c r="AC18" s="220">
        <v>0.0</v>
      </c>
      <c r="AD18" s="220">
        <v>75.79</v>
      </c>
      <c r="AE18" s="220">
        <f>IF('2025Sep1-2025Sep30CustomUnified'!$C18="order",'2025Sep1-2025Sep30CustomUnified'!$O18,0)</f>
        <v>125.99</v>
      </c>
      <c r="AF18" s="220">
        <f>IF('2025Sep1-2025Sep30CustomUnified'!$C18="refund",'2025Sep1-2025Sep30CustomUnified'!$O18,0)</f>
        <v>0</v>
      </c>
      <c r="AG18" s="220">
        <f>SUM('2025Sep1-2025Sep30CustomUnified'!$AE18:$AF18)</f>
        <v>125.99</v>
      </c>
      <c r="AH18" s="220">
        <f>IF('2025Sep1-2025Sep30CustomUnified'!$C18="order",'2025Sep1-2025Sep30CustomUnified'!$G18,0)</f>
        <v>1</v>
      </c>
      <c r="AI18" s="220">
        <f>IF('2025Sep1-2025Sep30CustomUnified'!$C18="refund",-'2025Sep1-2025Sep30CustomUnified'!$G18,0)</f>
        <v>0</v>
      </c>
      <c r="AJ18" s="220">
        <f>SUM('2025Sep1-2025Sep30CustomUnified'!$AH18:$AI18)</f>
        <v>1</v>
      </c>
      <c r="AK18" s="220">
        <f>'2025Sep1-2025Sep30CustomUnified'!$Z18</f>
        <v>-17.95</v>
      </c>
      <c r="AL18" s="220">
        <f>'2025Sep1-2025Sep30CustomUnified'!$AA18+'2025Sep1-2025Sep30CustomUnified'!$W18+'2025Sep1-2025Sep30CustomUnified'!$U18+'2025Sep1-2025Sep30CustomUnified'!$S18+'2025Sep1-2025Sep30CustomUnified'!$Q18</f>
        <v>-32.25</v>
      </c>
      <c r="AM18" s="220">
        <f>SUM('2025Sep1-2025Sep30CustomUnified'!$AB18:$AC18)</f>
        <v>0</v>
      </c>
      <c r="AN18" s="220">
        <f>SUM('2025Sep1-2025Sep30CustomUnified'!$AK18:$AM18)</f>
        <v>-50.2</v>
      </c>
      <c r="AO18" s="220">
        <f>'2025Sep1-2025Sep30CustomUnified'!$AG18+'2025Sep1-2025Sep30CustomUnified'!$AN18</f>
        <v>75.79</v>
      </c>
    </row>
    <row r="19">
      <c r="A19" s="220" t="s">
        <v>507</v>
      </c>
      <c r="B19" s="220">
        <v>2.4342675541E10</v>
      </c>
      <c r="C19" s="220" t="s">
        <v>443</v>
      </c>
      <c r="D19" s="220" t="s">
        <v>508</v>
      </c>
      <c r="E19" s="220" t="s">
        <v>225</v>
      </c>
      <c r="F19" s="220" t="s">
        <v>468</v>
      </c>
      <c r="G19" s="220">
        <v>1.0</v>
      </c>
      <c r="H19" s="220" t="s">
        <v>446</v>
      </c>
      <c r="I19" s="220" t="s">
        <v>447</v>
      </c>
      <c r="J19" s="220" t="s">
        <v>448</v>
      </c>
      <c r="K19" s="220" t="s">
        <v>509</v>
      </c>
      <c r="L19" s="220" t="s">
        <v>475</v>
      </c>
      <c r="M19" s="220">
        <v>34771.0</v>
      </c>
      <c r="N19" s="220" t="s">
        <v>451</v>
      </c>
      <c r="O19" s="220">
        <v>125.99</v>
      </c>
      <c r="P19" s="220">
        <v>8.98</v>
      </c>
      <c r="Q19" s="220">
        <v>0.0</v>
      </c>
      <c r="R19" s="220">
        <v>0.0</v>
      </c>
      <c r="S19" s="220">
        <v>0.0</v>
      </c>
      <c r="T19" s="220">
        <v>0.0</v>
      </c>
      <c r="U19" s="220">
        <v>0.0</v>
      </c>
      <c r="V19" s="220">
        <v>0.0</v>
      </c>
      <c r="W19" s="220">
        <v>-6.3</v>
      </c>
      <c r="X19" s="220">
        <v>0.0</v>
      </c>
      <c r="Y19" s="220">
        <v>-8.98</v>
      </c>
      <c r="Z19" s="220">
        <v>-17.95</v>
      </c>
      <c r="AA19" s="220">
        <v>-25.95</v>
      </c>
      <c r="AB19" s="220">
        <v>0.0</v>
      </c>
      <c r="AC19" s="220">
        <v>0.0</v>
      </c>
      <c r="AD19" s="220">
        <v>75.79</v>
      </c>
      <c r="AE19" s="220">
        <f>IF('2025Sep1-2025Sep30CustomUnified'!$C19="order",'2025Sep1-2025Sep30CustomUnified'!$O19,0)</f>
        <v>125.99</v>
      </c>
      <c r="AF19" s="220">
        <f>IF('2025Sep1-2025Sep30CustomUnified'!$C19="refund",'2025Sep1-2025Sep30CustomUnified'!$O19,0)</f>
        <v>0</v>
      </c>
      <c r="AG19" s="220">
        <f>SUM('2025Sep1-2025Sep30CustomUnified'!$AE19:$AF19)</f>
        <v>125.99</v>
      </c>
      <c r="AH19" s="220">
        <f>IF('2025Sep1-2025Sep30CustomUnified'!$C19="order",'2025Sep1-2025Sep30CustomUnified'!$G19,0)</f>
        <v>1</v>
      </c>
      <c r="AI19" s="220">
        <f>IF('2025Sep1-2025Sep30CustomUnified'!$C19="refund",-'2025Sep1-2025Sep30CustomUnified'!$G19,0)</f>
        <v>0</v>
      </c>
      <c r="AJ19" s="220">
        <f>SUM('2025Sep1-2025Sep30CustomUnified'!$AH19:$AI19)</f>
        <v>1</v>
      </c>
      <c r="AK19" s="220">
        <f>'2025Sep1-2025Sep30CustomUnified'!$Z19</f>
        <v>-17.95</v>
      </c>
      <c r="AL19" s="220">
        <f>'2025Sep1-2025Sep30CustomUnified'!$AA19+'2025Sep1-2025Sep30CustomUnified'!$W19+'2025Sep1-2025Sep30CustomUnified'!$U19+'2025Sep1-2025Sep30CustomUnified'!$S19+'2025Sep1-2025Sep30CustomUnified'!$Q19</f>
        <v>-32.25</v>
      </c>
      <c r="AM19" s="220">
        <f>SUM('2025Sep1-2025Sep30CustomUnified'!$AB19:$AC19)</f>
        <v>0</v>
      </c>
      <c r="AN19" s="220">
        <f>SUM('2025Sep1-2025Sep30CustomUnified'!$AK19:$AM19)</f>
        <v>-50.2</v>
      </c>
      <c r="AO19" s="220">
        <f>'2025Sep1-2025Sep30CustomUnified'!$AG19+'2025Sep1-2025Sep30CustomUnified'!$AN19</f>
        <v>75.79</v>
      </c>
    </row>
    <row r="20" hidden="1">
      <c r="A20" s="220" t="s">
        <v>510</v>
      </c>
      <c r="B20" s="220">
        <v>2.4342675541E10</v>
      </c>
      <c r="C20" s="220" t="s">
        <v>443</v>
      </c>
      <c r="D20" s="220" t="s">
        <v>511</v>
      </c>
      <c r="E20" s="220" t="s">
        <v>222</v>
      </c>
      <c r="F20" s="220" t="s">
        <v>445</v>
      </c>
      <c r="G20" s="220">
        <v>1.0</v>
      </c>
      <c r="H20" s="220" t="s">
        <v>446</v>
      </c>
      <c r="I20" s="220" t="s">
        <v>447</v>
      </c>
      <c r="J20" s="220" t="s">
        <v>448</v>
      </c>
      <c r="K20" s="220" t="s">
        <v>512</v>
      </c>
      <c r="L20" s="220" t="s">
        <v>455</v>
      </c>
      <c r="M20" s="220">
        <v>93230.0</v>
      </c>
      <c r="N20" s="220" t="s">
        <v>451</v>
      </c>
      <c r="O20" s="220">
        <v>129.99</v>
      </c>
      <c r="P20" s="220">
        <v>10.72</v>
      </c>
      <c r="Q20" s="220">
        <v>0.0</v>
      </c>
      <c r="R20" s="220">
        <v>0.0</v>
      </c>
      <c r="S20" s="220">
        <v>0.0</v>
      </c>
      <c r="T20" s="220">
        <v>0.0</v>
      </c>
      <c r="U20" s="220">
        <v>0.0</v>
      </c>
      <c r="V20" s="220">
        <v>0.0</v>
      </c>
      <c r="W20" s="220">
        <v>0.0</v>
      </c>
      <c r="X20" s="220">
        <v>0.0</v>
      </c>
      <c r="Y20" s="220">
        <v>-10.72</v>
      </c>
      <c r="Z20" s="220">
        <v>-19.5</v>
      </c>
      <c r="AA20" s="220">
        <v>-16.45</v>
      </c>
      <c r="AB20" s="220">
        <v>0.0</v>
      </c>
      <c r="AC20" s="220">
        <v>0.0</v>
      </c>
      <c r="AD20" s="220">
        <v>94.04</v>
      </c>
      <c r="AE20" s="220">
        <f>IF('2025Sep1-2025Sep30CustomUnified'!$C20="order",'2025Sep1-2025Sep30CustomUnified'!$O20,0)</f>
        <v>129.99</v>
      </c>
      <c r="AF20" s="220">
        <f>IF('2025Sep1-2025Sep30CustomUnified'!$C20="refund",'2025Sep1-2025Sep30CustomUnified'!$O20,0)</f>
        <v>0</v>
      </c>
      <c r="AG20" s="220">
        <f>SUM('2025Sep1-2025Sep30CustomUnified'!$AE20:$AF20)</f>
        <v>129.99</v>
      </c>
      <c r="AH20" s="220">
        <f>IF('2025Sep1-2025Sep30CustomUnified'!$C20="order",'2025Sep1-2025Sep30CustomUnified'!$G20,0)</f>
        <v>1</v>
      </c>
      <c r="AI20" s="220">
        <f>IF('2025Sep1-2025Sep30CustomUnified'!$C20="refund",-'2025Sep1-2025Sep30CustomUnified'!$G20,0)</f>
        <v>0</v>
      </c>
      <c r="AJ20" s="220">
        <f>SUM('2025Sep1-2025Sep30CustomUnified'!$AH20:$AI20)</f>
        <v>1</v>
      </c>
      <c r="AK20" s="220">
        <f>'2025Sep1-2025Sep30CustomUnified'!$Z20</f>
        <v>-19.5</v>
      </c>
      <c r="AL20" s="220">
        <f>'2025Sep1-2025Sep30CustomUnified'!$AA20+'2025Sep1-2025Sep30CustomUnified'!$W20+'2025Sep1-2025Sep30CustomUnified'!$U20+'2025Sep1-2025Sep30CustomUnified'!$S20+'2025Sep1-2025Sep30CustomUnified'!$Q20</f>
        <v>-16.45</v>
      </c>
      <c r="AM20" s="220">
        <f>SUM('2025Sep1-2025Sep30CustomUnified'!$AB20:$AC20)</f>
        <v>0</v>
      </c>
      <c r="AN20" s="220">
        <f>SUM('2025Sep1-2025Sep30CustomUnified'!$AK20:$AM20)</f>
        <v>-35.95</v>
      </c>
      <c r="AO20" s="220">
        <f>'2025Sep1-2025Sep30CustomUnified'!$AG20+'2025Sep1-2025Sep30CustomUnified'!$AN20</f>
        <v>94.04</v>
      </c>
    </row>
    <row r="21" ht="15.75" customHeight="1">
      <c r="A21" s="220" t="s">
        <v>513</v>
      </c>
      <c r="B21" s="220">
        <v>2.4342675541E10</v>
      </c>
      <c r="C21" s="220" t="s">
        <v>443</v>
      </c>
      <c r="D21" s="220" t="s">
        <v>514</v>
      </c>
      <c r="E21" s="220" t="s">
        <v>225</v>
      </c>
      <c r="F21" s="220" t="s">
        <v>468</v>
      </c>
      <c r="G21" s="220">
        <v>1.0</v>
      </c>
      <c r="H21" s="220" t="s">
        <v>446</v>
      </c>
      <c r="I21" s="220" t="s">
        <v>447</v>
      </c>
      <c r="J21" s="220" t="s">
        <v>448</v>
      </c>
      <c r="K21" s="220" t="s">
        <v>515</v>
      </c>
      <c r="L21" s="220" t="s">
        <v>455</v>
      </c>
      <c r="M21" s="220">
        <v>94553.0</v>
      </c>
      <c r="N21" s="220" t="s">
        <v>451</v>
      </c>
      <c r="O21" s="220">
        <v>125.99</v>
      </c>
      <c r="P21" s="220">
        <v>11.67</v>
      </c>
      <c r="Q21" s="220">
        <v>0.0</v>
      </c>
      <c r="R21" s="220">
        <v>0.0</v>
      </c>
      <c r="S21" s="220">
        <v>0.0</v>
      </c>
      <c r="T21" s="220">
        <v>0.0</v>
      </c>
      <c r="U21" s="220">
        <v>0.0</v>
      </c>
      <c r="V21" s="220">
        <v>0.0</v>
      </c>
      <c r="W21" s="220">
        <v>-6.3</v>
      </c>
      <c r="X21" s="220">
        <v>0.0</v>
      </c>
      <c r="Y21" s="220">
        <v>-11.67</v>
      </c>
      <c r="Z21" s="220">
        <v>-17.95</v>
      </c>
      <c r="AA21" s="220">
        <v>-25.95</v>
      </c>
      <c r="AB21" s="220">
        <v>0.0</v>
      </c>
      <c r="AC21" s="220">
        <v>0.0</v>
      </c>
      <c r="AD21" s="220">
        <v>75.79</v>
      </c>
      <c r="AE21" s="220">
        <f>IF('2025Sep1-2025Sep30CustomUnified'!$C21="order",'2025Sep1-2025Sep30CustomUnified'!$O21,0)</f>
        <v>125.99</v>
      </c>
      <c r="AF21" s="220">
        <f>IF('2025Sep1-2025Sep30CustomUnified'!$C21="refund",'2025Sep1-2025Sep30CustomUnified'!$O21,0)</f>
        <v>0</v>
      </c>
      <c r="AG21" s="220">
        <f>SUM('2025Sep1-2025Sep30CustomUnified'!$AE21:$AF21)</f>
        <v>125.99</v>
      </c>
      <c r="AH21" s="220">
        <f>IF('2025Sep1-2025Sep30CustomUnified'!$C21="order",'2025Sep1-2025Sep30CustomUnified'!$G21,0)</f>
        <v>1</v>
      </c>
      <c r="AI21" s="220">
        <f>IF('2025Sep1-2025Sep30CustomUnified'!$C21="refund",-'2025Sep1-2025Sep30CustomUnified'!$G21,0)</f>
        <v>0</v>
      </c>
      <c r="AJ21" s="220">
        <f>SUM('2025Sep1-2025Sep30CustomUnified'!$AH21:$AI21)</f>
        <v>1</v>
      </c>
      <c r="AK21" s="220">
        <f>'2025Sep1-2025Sep30CustomUnified'!$Z21</f>
        <v>-17.95</v>
      </c>
      <c r="AL21" s="220">
        <f>'2025Sep1-2025Sep30CustomUnified'!$AA21+'2025Sep1-2025Sep30CustomUnified'!$W21+'2025Sep1-2025Sep30CustomUnified'!$U21+'2025Sep1-2025Sep30CustomUnified'!$S21+'2025Sep1-2025Sep30CustomUnified'!$Q21</f>
        <v>-32.25</v>
      </c>
      <c r="AM21" s="220">
        <f>SUM('2025Sep1-2025Sep30CustomUnified'!$AB21:$AC21)</f>
        <v>0</v>
      </c>
      <c r="AN21" s="220">
        <f>SUM('2025Sep1-2025Sep30CustomUnified'!$AK21:$AM21)</f>
        <v>-50.2</v>
      </c>
      <c r="AO21" s="220">
        <f>'2025Sep1-2025Sep30CustomUnified'!$AG21+'2025Sep1-2025Sep30CustomUnified'!$AN21</f>
        <v>75.79</v>
      </c>
    </row>
    <row r="22" ht="15.75" hidden="1" customHeight="1">
      <c r="A22" s="220" t="s">
        <v>516</v>
      </c>
      <c r="B22" s="220">
        <v>2.4342675541E10</v>
      </c>
      <c r="C22" s="220" t="s">
        <v>443</v>
      </c>
      <c r="D22" s="220" t="s">
        <v>517</v>
      </c>
      <c r="E22" s="220" t="s">
        <v>394</v>
      </c>
      <c r="F22" s="220" t="s">
        <v>518</v>
      </c>
      <c r="G22" s="220">
        <v>1.0</v>
      </c>
      <c r="H22" s="220" t="s">
        <v>446</v>
      </c>
      <c r="I22" s="220" t="s">
        <v>447</v>
      </c>
      <c r="J22" s="220" t="s">
        <v>488</v>
      </c>
      <c r="K22" s="220" t="s">
        <v>519</v>
      </c>
      <c r="L22" s="220" t="s">
        <v>520</v>
      </c>
      <c r="M22" s="221" t="s">
        <v>521</v>
      </c>
      <c r="N22" s="220" t="s">
        <v>451</v>
      </c>
      <c r="O22" s="220">
        <v>299.99</v>
      </c>
      <c r="P22" s="220">
        <v>17.89</v>
      </c>
      <c r="Q22" s="220">
        <v>0.0</v>
      </c>
      <c r="R22" s="220">
        <v>0.0</v>
      </c>
      <c r="S22" s="220">
        <v>0.0</v>
      </c>
      <c r="T22" s="220">
        <v>0.0</v>
      </c>
      <c r="U22" s="220">
        <v>0.0</v>
      </c>
      <c r="V22" s="220">
        <v>0.0</v>
      </c>
      <c r="W22" s="220">
        <v>-30.0</v>
      </c>
      <c r="X22" s="220">
        <v>0.0</v>
      </c>
      <c r="Y22" s="220">
        <v>-17.89</v>
      </c>
      <c r="Z22" s="220">
        <v>-37.0</v>
      </c>
      <c r="AA22" s="220">
        <v>0.0</v>
      </c>
      <c r="AB22" s="220">
        <v>0.0</v>
      </c>
      <c r="AC22" s="220">
        <v>0.0</v>
      </c>
      <c r="AD22" s="220">
        <v>232.99</v>
      </c>
      <c r="AE22" s="220">
        <f>IF('2025Sep1-2025Sep30CustomUnified'!$C22="order",'2025Sep1-2025Sep30CustomUnified'!$O22,0)</f>
        <v>299.99</v>
      </c>
      <c r="AF22" s="220">
        <f>IF('2025Sep1-2025Sep30CustomUnified'!$C22="refund",'2025Sep1-2025Sep30CustomUnified'!$O22,0)</f>
        <v>0</v>
      </c>
      <c r="AG22" s="220">
        <f>SUM('2025Sep1-2025Sep30CustomUnified'!$AE22:$AF22)</f>
        <v>299.99</v>
      </c>
      <c r="AH22" s="220">
        <f>IF('2025Sep1-2025Sep30CustomUnified'!$C22="order",'2025Sep1-2025Sep30CustomUnified'!$G22,0)</f>
        <v>1</v>
      </c>
      <c r="AI22" s="220">
        <f>IF('2025Sep1-2025Sep30CustomUnified'!$C22="refund",-'2025Sep1-2025Sep30CustomUnified'!$G22,0)</f>
        <v>0</v>
      </c>
      <c r="AJ22" s="220">
        <f>SUM('2025Sep1-2025Sep30CustomUnified'!$AH22:$AI22)</f>
        <v>1</v>
      </c>
      <c r="AK22" s="220">
        <f>'2025Sep1-2025Sep30CustomUnified'!$Z22</f>
        <v>-37</v>
      </c>
      <c r="AL22" s="220">
        <f>'2025Sep1-2025Sep30CustomUnified'!$AA22+'2025Sep1-2025Sep30CustomUnified'!$W22+'2025Sep1-2025Sep30CustomUnified'!$U22+'2025Sep1-2025Sep30CustomUnified'!$S22+'2025Sep1-2025Sep30CustomUnified'!$Q22</f>
        <v>-30</v>
      </c>
      <c r="AM22" s="220">
        <f>SUM('2025Sep1-2025Sep30CustomUnified'!$AB22:$AC22)</f>
        <v>0</v>
      </c>
      <c r="AN22" s="220">
        <f>SUM('2025Sep1-2025Sep30CustomUnified'!$AK22:$AM22)</f>
        <v>-67</v>
      </c>
      <c r="AO22" s="220">
        <f>'2025Sep1-2025Sep30CustomUnified'!$AG22+'2025Sep1-2025Sep30CustomUnified'!$AN22</f>
        <v>232.99</v>
      </c>
    </row>
    <row r="23" ht="15.75" customHeight="1">
      <c r="A23" s="220" t="s">
        <v>522</v>
      </c>
      <c r="B23" s="220">
        <v>2.4342675541E10</v>
      </c>
      <c r="C23" s="220" t="s">
        <v>443</v>
      </c>
      <c r="D23" s="220" t="s">
        <v>523</v>
      </c>
      <c r="E23" s="220" t="s">
        <v>225</v>
      </c>
      <c r="F23" s="220" t="s">
        <v>468</v>
      </c>
      <c r="G23" s="220">
        <v>1.0</v>
      </c>
      <c r="H23" s="220" t="s">
        <v>446</v>
      </c>
      <c r="I23" s="220" t="s">
        <v>447</v>
      </c>
      <c r="J23" s="220" t="s">
        <v>448</v>
      </c>
      <c r="K23" s="220" t="s">
        <v>524</v>
      </c>
      <c r="L23" s="220" t="s">
        <v>525</v>
      </c>
      <c r="M23" s="220">
        <v>73072.0</v>
      </c>
      <c r="N23" s="220" t="s">
        <v>451</v>
      </c>
      <c r="O23" s="220">
        <v>125.99</v>
      </c>
      <c r="P23" s="220">
        <v>11.02</v>
      </c>
      <c r="Q23" s="220">
        <v>0.0</v>
      </c>
      <c r="R23" s="220">
        <v>0.0</v>
      </c>
      <c r="S23" s="220">
        <v>0.0</v>
      </c>
      <c r="T23" s="220">
        <v>0.0</v>
      </c>
      <c r="U23" s="220">
        <v>0.0</v>
      </c>
      <c r="V23" s="220">
        <v>0.0</v>
      </c>
      <c r="W23" s="220">
        <v>0.0</v>
      </c>
      <c r="X23" s="220">
        <v>0.0</v>
      </c>
      <c r="Y23" s="220">
        <v>-11.02</v>
      </c>
      <c r="Z23" s="220">
        <v>-18.9</v>
      </c>
      <c r="AA23" s="220">
        <v>-25.95</v>
      </c>
      <c r="AB23" s="220">
        <v>0.0</v>
      </c>
      <c r="AC23" s="220">
        <v>0.0</v>
      </c>
      <c r="AD23" s="220">
        <v>81.14</v>
      </c>
      <c r="AE23" s="220">
        <f>IF('2025Sep1-2025Sep30CustomUnified'!$C23="order",'2025Sep1-2025Sep30CustomUnified'!$O23,0)</f>
        <v>125.99</v>
      </c>
      <c r="AF23" s="220">
        <f>IF('2025Sep1-2025Sep30CustomUnified'!$C23="refund",'2025Sep1-2025Sep30CustomUnified'!$O23,0)</f>
        <v>0</v>
      </c>
      <c r="AG23" s="220">
        <f>SUM('2025Sep1-2025Sep30CustomUnified'!$AE23:$AF23)</f>
        <v>125.99</v>
      </c>
      <c r="AH23" s="220">
        <f>IF('2025Sep1-2025Sep30CustomUnified'!$C23="order",'2025Sep1-2025Sep30CustomUnified'!$G23,0)</f>
        <v>1</v>
      </c>
      <c r="AI23" s="220">
        <f>IF('2025Sep1-2025Sep30CustomUnified'!$C23="refund",-'2025Sep1-2025Sep30CustomUnified'!$G23,0)</f>
        <v>0</v>
      </c>
      <c r="AJ23" s="220">
        <f>SUM('2025Sep1-2025Sep30CustomUnified'!$AH23:$AI23)</f>
        <v>1</v>
      </c>
      <c r="AK23" s="220">
        <f>'2025Sep1-2025Sep30CustomUnified'!$Z23</f>
        <v>-18.9</v>
      </c>
      <c r="AL23" s="220">
        <f>'2025Sep1-2025Sep30CustomUnified'!$AA23+'2025Sep1-2025Sep30CustomUnified'!$W23+'2025Sep1-2025Sep30CustomUnified'!$U23+'2025Sep1-2025Sep30CustomUnified'!$S23+'2025Sep1-2025Sep30CustomUnified'!$Q23</f>
        <v>-25.95</v>
      </c>
      <c r="AM23" s="220">
        <f>SUM('2025Sep1-2025Sep30CustomUnified'!$AB23:$AC23)</f>
        <v>0</v>
      </c>
      <c r="AN23" s="220">
        <f>SUM('2025Sep1-2025Sep30CustomUnified'!$AK23:$AM23)</f>
        <v>-44.85</v>
      </c>
      <c r="AO23" s="220">
        <f>'2025Sep1-2025Sep30CustomUnified'!$AG23+'2025Sep1-2025Sep30CustomUnified'!$AN23</f>
        <v>81.14</v>
      </c>
    </row>
    <row r="24" ht="15.75" hidden="1" customHeight="1">
      <c r="A24" s="220" t="s">
        <v>526</v>
      </c>
      <c r="B24" s="220">
        <v>2.4342675541E10</v>
      </c>
      <c r="C24" s="220" t="s">
        <v>443</v>
      </c>
      <c r="D24" s="220" t="s">
        <v>527</v>
      </c>
      <c r="E24" s="220" t="s">
        <v>228</v>
      </c>
      <c r="F24" s="220" t="s">
        <v>458</v>
      </c>
      <c r="G24" s="220">
        <v>1.0</v>
      </c>
      <c r="H24" s="220" t="s">
        <v>446</v>
      </c>
      <c r="I24" s="220" t="s">
        <v>447</v>
      </c>
      <c r="J24" s="220" t="s">
        <v>448</v>
      </c>
      <c r="K24" s="220" t="s">
        <v>528</v>
      </c>
      <c r="L24" s="220" t="s">
        <v>529</v>
      </c>
      <c r="M24" s="220">
        <v>55446.0</v>
      </c>
      <c r="N24" s="220" t="s">
        <v>451</v>
      </c>
      <c r="O24" s="220">
        <v>219.99</v>
      </c>
      <c r="P24" s="220">
        <v>17.82</v>
      </c>
      <c r="Q24" s="220">
        <v>0.0</v>
      </c>
      <c r="R24" s="220">
        <v>0.0</v>
      </c>
      <c r="S24" s="220">
        <v>0.0</v>
      </c>
      <c r="T24" s="220">
        <v>0.0</v>
      </c>
      <c r="U24" s="220">
        <v>0.0</v>
      </c>
      <c r="V24" s="220">
        <v>0.0</v>
      </c>
      <c r="W24" s="220">
        <v>-11.0</v>
      </c>
      <c r="X24" s="220">
        <v>0.0</v>
      </c>
      <c r="Y24" s="220">
        <v>-17.82</v>
      </c>
      <c r="Z24" s="220">
        <v>-30.9</v>
      </c>
      <c r="AA24" s="220">
        <v>-21.39</v>
      </c>
      <c r="AB24" s="220">
        <v>0.0</v>
      </c>
      <c r="AC24" s="220">
        <v>0.0</v>
      </c>
      <c r="AD24" s="220">
        <v>156.7</v>
      </c>
      <c r="AE24" s="220">
        <f>IF('2025Sep1-2025Sep30CustomUnified'!$C24="order",'2025Sep1-2025Sep30CustomUnified'!$O24,0)</f>
        <v>219.99</v>
      </c>
      <c r="AF24" s="220">
        <f>IF('2025Sep1-2025Sep30CustomUnified'!$C24="refund",'2025Sep1-2025Sep30CustomUnified'!$O24,0)</f>
        <v>0</v>
      </c>
      <c r="AG24" s="220">
        <f>SUM('2025Sep1-2025Sep30CustomUnified'!$AE24:$AF24)</f>
        <v>219.99</v>
      </c>
      <c r="AH24" s="220">
        <f>IF('2025Sep1-2025Sep30CustomUnified'!$C24="order",'2025Sep1-2025Sep30CustomUnified'!$G24,0)</f>
        <v>1</v>
      </c>
      <c r="AI24" s="220">
        <f>IF('2025Sep1-2025Sep30CustomUnified'!$C24="refund",-'2025Sep1-2025Sep30CustomUnified'!$G24,0)</f>
        <v>0</v>
      </c>
      <c r="AJ24" s="220">
        <f>SUM('2025Sep1-2025Sep30CustomUnified'!$AH24:$AI24)</f>
        <v>1</v>
      </c>
      <c r="AK24" s="220">
        <f>'2025Sep1-2025Sep30CustomUnified'!$Z24</f>
        <v>-30.9</v>
      </c>
      <c r="AL24" s="220">
        <f>'2025Sep1-2025Sep30CustomUnified'!$AA24+'2025Sep1-2025Sep30CustomUnified'!$W24+'2025Sep1-2025Sep30CustomUnified'!$U24+'2025Sep1-2025Sep30CustomUnified'!$S24+'2025Sep1-2025Sep30CustomUnified'!$Q24</f>
        <v>-32.39</v>
      </c>
      <c r="AM24" s="220">
        <f>SUM('2025Sep1-2025Sep30CustomUnified'!$AB24:$AC24)</f>
        <v>0</v>
      </c>
      <c r="AN24" s="220">
        <f>SUM('2025Sep1-2025Sep30CustomUnified'!$AK24:$AM24)</f>
        <v>-63.29</v>
      </c>
      <c r="AO24" s="220">
        <f>'2025Sep1-2025Sep30CustomUnified'!$AG24+'2025Sep1-2025Sep30CustomUnified'!$AN24</f>
        <v>156.7</v>
      </c>
    </row>
    <row r="25" ht="15.75" hidden="1" customHeight="1">
      <c r="A25" s="220" t="s">
        <v>530</v>
      </c>
      <c r="B25" s="220">
        <v>2.4342675541E10</v>
      </c>
      <c r="C25" s="220" t="s">
        <v>443</v>
      </c>
      <c r="D25" s="220" t="s">
        <v>531</v>
      </c>
      <c r="E25" s="220" t="s">
        <v>224</v>
      </c>
      <c r="F25" s="220" t="s">
        <v>495</v>
      </c>
      <c r="G25" s="220">
        <v>1.0</v>
      </c>
      <c r="H25" s="220" t="s">
        <v>446</v>
      </c>
      <c r="I25" s="220" t="s">
        <v>447</v>
      </c>
      <c r="J25" s="220" t="s">
        <v>448</v>
      </c>
      <c r="K25" s="220" t="s">
        <v>532</v>
      </c>
      <c r="L25" s="220" t="s">
        <v>533</v>
      </c>
      <c r="M25" s="220">
        <v>71111.0</v>
      </c>
      <c r="N25" s="220" t="s">
        <v>451</v>
      </c>
      <c r="O25" s="220">
        <v>110.49</v>
      </c>
      <c r="P25" s="220">
        <v>9.71</v>
      </c>
      <c r="Q25" s="220">
        <v>0.0</v>
      </c>
      <c r="R25" s="220">
        <v>0.0</v>
      </c>
      <c r="S25" s="220">
        <v>0.0</v>
      </c>
      <c r="T25" s="220">
        <v>0.0</v>
      </c>
      <c r="U25" s="220">
        <v>0.0</v>
      </c>
      <c r="V25" s="220">
        <v>0.0</v>
      </c>
      <c r="W25" s="220">
        <v>-5.52</v>
      </c>
      <c r="X25" s="220">
        <v>0.0</v>
      </c>
      <c r="Y25" s="220">
        <v>-9.71</v>
      </c>
      <c r="Z25" s="220">
        <v>-15.75</v>
      </c>
      <c r="AA25" s="220">
        <v>-16.45</v>
      </c>
      <c r="AB25" s="220">
        <v>0.0</v>
      </c>
      <c r="AC25" s="220">
        <v>0.0</v>
      </c>
      <c r="AD25" s="220">
        <v>72.77</v>
      </c>
      <c r="AE25" s="220">
        <f>IF('2025Sep1-2025Sep30CustomUnified'!$C25="order",'2025Sep1-2025Sep30CustomUnified'!$O25,0)</f>
        <v>110.49</v>
      </c>
      <c r="AF25" s="220">
        <f>IF('2025Sep1-2025Sep30CustomUnified'!$C25="refund",'2025Sep1-2025Sep30CustomUnified'!$O25,0)</f>
        <v>0</v>
      </c>
      <c r="AG25" s="220">
        <f>SUM('2025Sep1-2025Sep30CustomUnified'!$AE25:$AF25)</f>
        <v>110.49</v>
      </c>
      <c r="AH25" s="220">
        <f>IF('2025Sep1-2025Sep30CustomUnified'!$C25="order",'2025Sep1-2025Sep30CustomUnified'!$G25,0)</f>
        <v>1</v>
      </c>
      <c r="AI25" s="220">
        <f>IF('2025Sep1-2025Sep30CustomUnified'!$C25="refund",-'2025Sep1-2025Sep30CustomUnified'!$G25,0)</f>
        <v>0</v>
      </c>
      <c r="AJ25" s="220">
        <f>SUM('2025Sep1-2025Sep30CustomUnified'!$AH25:$AI25)</f>
        <v>1</v>
      </c>
      <c r="AK25" s="220">
        <f>'2025Sep1-2025Sep30CustomUnified'!$Z25</f>
        <v>-15.75</v>
      </c>
      <c r="AL25" s="220">
        <f>'2025Sep1-2025Sep30CustomUnified'!$AA25+'2025Sep1-2025Sep30CustomUnified'!$W25+'2025Sep1-2025Sep30CustomUnified'!$U25+'2025Sep1-2025Sep30CustomUnified'!$S25+'2025Sep1-2025Sep30CustomUnified'!$Q25</f>
        <v>-21.97</v>
      </c>
      <c r="AM25" s="220">
        <f>SUM('2025Sep1-2025Sep30CustomUnified'!$AB25:$AC25)</f>
        <v>0</v>
      </c>
      <c r="AN25" s="220">
        <f>SUM('2025Sep1-2025Sep30CustomUnified'!$AK25:$AM25)</f>
        <v>-37.72</v>
      </c>
      <c r="AO25" s="220">
        <f>'2025Sep1-2025Sep30CustomUnified'!$AG25+'2025Sep1-2025Sep30CustomUnified'!$AN25</f>
        <v>72.77</v>
      </c>
    </row>
    <row r="26" ht="15.75" hidden="1" customHeight="1">
      <c r="A26" s="220" t="s">
        <v>534</v>
      </c>
      <c r="B26" s="220">
        <v>2.4450080321E10</v>
      </c>
      <c r="C26" s="220" t="s">
        <v>443</v>
      </c>
      <c r="D26" s="220" t="s">
        <v>535</v>
      </c>
      <c r="E26" s="220" t="s">
        <v>224</v>
      </c>
      <c r="F26" s="220" t="s">
        <v>495</v>
      </c>
      <c r="G26" s="220">
        <v>1.0</v>
      </c>
      <c r="H26" s="220" t="s">
        <v>446</v>
      </c>
      <c r="I26" s="220" t="s">
        <v>447</v>
      </c>
      <c r="J26" s="220" t="s">
        <v>448</v>
      </c>
      <c r="K26" s="220" t="s">
        <v>536</v>
      </c>
      <c r="L26" s="220" t="s">
        <v>537</v>
      </c>
      <c r="M26" s="220">
        <v>21901.0</v>
      </c>
      <c r="N26" s="220" t="s">
        <v>451</v>
      </c>
      <c r="O26" s="220">
        <v>110.49</v>
      </c>
      <c r="P26" s="220">
        <v>6.3</v>
      </c>
      <c r="Q26" s="220">
        <v>0.0</v>
      </c>
      <c r="R26" s="220">
        <v>0.0</v>
      </c>
      <c r="S26" s="220">
        <v>0.0</v>
      </c>
      <c r="T26" s="220">
        <v>0.0</v>
      </c>
      <c r="U26" s="220">
        <v>0.0</v>
      </c>
      <c r="V26" s="220">
        <v>0.0</v>
      </c>
      <c r="W26" s="220">
        <v>-5.52</v>
      </c>
      <c r="X26" s="220">
        <v>0.0</v>
      </c>
      <c r="Y26" s="220">
        <v>-6.3</v>
      </c>
      <c r="Z26" s="220">
        <v>-15.75</v>
      </c>
      <c r="AA26" s="220">
        <v>-16.45</v>
      </c>
      <c r="AB26" s="220">
        <v>0.0</v>
      </c>
      <c r="AC26" s="220">
        <v>0.0</v>
      </c>
      <c r="AD26" s="220">
        <v>72.77</v>
      </c>
      <c r="AE26" s="220">
        <f>IF('2025Sep1-2025Sep30CustomUnified'!$C26="order",'2025Sep1-2025Sep30CustomUnified'!$O26,0)</f>
        <v>110.49</v>
      </c>
      <c r="AF26" s="220">
        <f>IF('2025Sep1-2025Sep30CustomUnified'!$C26="refund",'2025Sep1-2025Sep30CustomUnified'!$O26,0)</f>
        <v>0</v>
      </c>
      <c r="AG26" s="220">
        <f>SUM('2025Sep1-2025Sep30CustomUnified'!$AE26:$AF26)</f>
        <v>110.49</v>
      </c>
      <c r="AH26" s="220">
        <f>IF('2025Sep1-2025Sep30CustomUnified'!$C26="order",'2025Sep1-2025Sep30CustomUnified'!$G26,0)</f>
        <v>1</v>
      </c>
      <c r="AI26" s="220">
        <f>IF('2025Sep1-2025Sep30CustomUnified'!$C26="refund",-'2025Sep1-2025Sep30CustomUnified'!$G26,0)</f>
        <v>0</v>
      </c>
      <c r="AJ26" s="220">
        <f>SUM('2025Sep1-2025Sep30CustomUnified'!$AH26:$AI26)</f>
        <v>1</v>
      </c>
      <c r="AK26" s="220">
        <f>'2025Sep1-2025Sep30CustomUnified'!$Z26</f>
        <v>-15.75</v>
      </c>
      <c r="AL26" s="220">
        <f>'2025Sep1-2025Sep30CustomUnified'!$AA26+'2025Sep1-2025Sep30CustomUnified'!$W26+'2025Sep1-2025Sep30CustomUnified'!$U26+'2025Sep1-2025Sep30CustomUnified'!$S26+'2025Sep1-2025Sep30CustomUnified'!$Q26</f>
        <v>-21.97</v>
      </c>
      <c r="AM26" s="220">
        <f>SUM('2025Sep1-2025Sep30CustomUnified'!$AB26:$AC26)</f>
        <v>0</v>
      </c>
      <c r="AN26" s="220">
        <f>SUM('2025Sep1-2025Sep30CustomUnified'!$AK26:$AM26)</f>
        <v>-37.72</v>
      </c>
      <c r="AO26" s="220">
        <f>'2025Sep1-2025Sep30CustomUnified'!$AG26+'2025Sep1-2025Sep30CustomUnified'!$AN26</f>
        <v>72.77</v>
      </c>
    </row>
    <row r="27" ht="15.75" hidden="1" customHeight="1">
      <c r="A27" s="220" t="s">
        <v>538</v>
      </c>
      <c r="B27" s="220">
        <v>2.4450080321E10</v>
      </c>
      <c r="C27" s="220" t="s">
        <v>443</v>
      </c>
      <c r="D27" s="220" t="s">
        <v>539</v>
      </c>
      <c r="E27" s="220" t="s">
        <v>229</v>
      </c>
      <c r="F27" s="220" t="s">
        <v>501</v>
      </c>
      <c r="G27" s="220">
        <v>1.0</v>
      </c>
      <c r="H27" s="220" t="s">
        <v>446</v>
      </c>
      <c r="I27" s="220" t="s">
        <v>447</v>
      </c>
      <c r="J27" s="220" t="s">
        <v>448</v>
      </c>
      <c r="K27" s="220" t="s">
        <v>540</v>
      </c>
      <c r="L27" s="220" t="s">
        <v>541</v>
      </c>
      <c r="M27" s="220">
        <v>54952.0</v>
      </c>
      <c r="N27" s="220" t="s">
        <v>451</v>
      </c>
      <c r="O27" s="220">
        <v>0.0</v>
      </c>
      <c r="P27" s="220">
        <v>0.0</v>
      </c>
      <c r="Q27" s="220">
        <v>0.0</v>
      </c>
      <c r="R27" s="220">
        <v>0.0</v>
      </c>
      <c r="S27" s="220">
        <v>0.0</v>
      </c>
      <c r="T27" s="220">
        <v>0.0</v>
      </c>
      <c r="U27" s="220">
        <v>0.0</v>
      </c>
      <c r="V27" s="220">
        <v>0.0</v>
      </c>
      <c r="W27" s="220">
        <v>0.0</v>
      </c>
      <c r="X27" s="220">
        <v>0.0</v>
      </c>
      <c r="Y27" s="220">
        <v>0.0</v>
      </c>
      <c r="Z27" s="220">
        <v>0.0</v>
      </c>
      <c r="AA27" s="220">
        <v>0.0</v>
      </c>
      <c r="AB27" s="220">
        <v>0.0</v>
      </c>
      <c r="AC27" s="220">
        <v>0.0</v>
      </c>
      <c r="AD27" s="220">
        <v>0.0</v>
      </c>
      <c r="AE27" s="220">
        <f>IF('2025Sep1-2025Sep30CustomUnified'!$C27="order",'2025Sep1-2025Sep30CustomUnified'!$O27,0)</f>
        <v>0</v>
      </c>
      <c r="AF27" s="220">
        <f>IF('2025Sep1-2025Sep30CustomUnified'!$C27="refund",'2025Sep1-2025Sep30CustomUnified'!$O27,0)</f>
        <v>0</v>
      </c>
      <c r="AG27" s="220">
        <f>SUM('2025Sep1-2025Sep30CustomUnified'!$AE27:$AF27)</f>
        <v>0</v>
      </c>
      <c r="AH27" s="220">
        <f>IF('2025Sep1-2025Sep30CustomUnified'!$C27="order",'2025Sep1-2025Sep30CustomUnified'!$G27,0)</f>
        <v>1</v>
      </c>
      <c r="AI27" s="220">
        <f>IF('2025Sep1-2025Sep30CustomUnified'!$C27="refund",-'2025Sep1-2025Sep30CustomUnified'!$G27,0)</f>
        <v>0</v>
      </c>
      <c r="AJ27" s="220">
        <f>SUM('2025Sep1-2025Sep30CustomUnified'!$AH27:$AI27)</f>
        <v>1</v>
      </c>
      <c r="AK27" s="220">
        <f>'2025Sep1-2025Sep30CustomUnified'!$Z27</f>
        <v>0</v>
      </c>
      <c r="AL27" s="220">
        <f>'2025Sep1-2025Sep30CustomUnified'!$AA27+'2025Sep1-2025Sep30CustomUnified'!$W27+'2025Sep1-2025Sep30CustomUnified'!$U27+'2025Sep1-2025Sep30CustomUnified'!$S27+'2025Sep1-2025Sep30CustomUnified'!$Q27</f>
        <v>0</v>
      </c>
      <c r="AM27" s="220">
        <f>SUM('2025Sep1-2025Sep30CustomUnified'!$AB27:$AC27)</f>
        <v>0</v>
      </c>
      <c r="AN27" s="220">
        <f>SUM('2025Sep1-2025Sep30CustomUnified'!$AK27:$AM27)</f>
        <v>0</v>
      </c>
      <c r="AO27" s="220">
        <f>'2025Sep1-2025Sep30CustomUnified'!$AG27+'2025Sep1-2025Sep30CustomUnified'!$AN27</f>
        <v>0</v>
      </c>
    </row>
    <row r="28" ht="15.75" customHeight="1">
      <c r="A28" s="220" t="s">
        <v>542</v>
      </c>
      <c r="B28" s="220">
        <v>2.4450080321E10</v>
      </c>
      <c r="C28" s="220" t="s">
        <v>443</v>
      </c>
      <c r="D28" s="220" t="s">
        <v>543</v>
      </c>
      <c r="E28" s="220" t="s">
        <v>225</v>
      </c>
      <c r="F28" s="220" t="s">
        <v>468</v>
      </c>
      <c r="G28" s="220">
        <v>1.0</v>
      </c>
      <c r="H28" s="220" t="s">
        <v>446</v>
      </c>
      <c r="I28" s="220" t="s">
        <v>447</v>
      </c>
      <c r="J28" s="220" t="s">
        <v>448</v>
      </c>
      <c r="K28" s="220" t="s">
        <v>544</v>
      </c>
      <c r="L28" s="220" t="s">
        <v>460</v>
      </c>
      <c r="M28" s="220">
        <v>11213.0</v>
      </c>
      <c r="N28" s="220" t="s">
        <v>451</v>
      </c>
      <c r="O28" s="220">
        <v>125.99</v>
      </c>
      <c r="P28" s="220">
        <v>11.18</v>
      </c>
      <c r="Q28" s="220">
        <v>0.0</v>
      </c>
      <c r="R28" s="220">
        <v>0.0</v>
      </c>
      <c r="S28" s="220">
        <v>0.0</v>
      </c>
      <c r="T28" s="220">
        <v>0.0</v>
      </c>
      <c r="U28" s="220">
        <v>0.0</v>
      </c>
      <c r="V28" s="220">
        <v>0.0</v>
      </c>
      <c r="W28" s="220">
        <v>0.0</v>
      </c>
      <c r="X28" s="220">
        <v>0.0</v>
      </c>
      <c r="Y28" s="220">
        <v>-11.18</v>
      </c>
      <c r="Z28" s="220">
        <v>-18.9</v>
      </c>
      <c r="AA28" s="220">
        <v>-25.95</v>
      </c>
      <c r="AB28" s="220">
        <v>0.0</v>
      </c>
      <c r="AC28" s="220">
        <v>0.0</v>
      </c>
      <c r="AD28" s="220">
        <v>81.14</v>
      </c>
      <c r="AE28" s="220">
        <f>IF('2025Sep1-2025Sep30CustomUnified'!$C28="order",'2025Sep1-2025Sep30CustomUnified'!$O28,0)</f>
        <v>125.99</v>
      </c>
      <c r="AF28" s="220">
        <f>IF('2025Sep1-2025Sep30CustomUnified'!$C28="refund",'2025Sep1-2025Sep30CustomUnified'!$O28,0)</f>
        <v>0</v>
      </c>
      <c r="AG28" s="220">
        <f>SUM('2025Sep1-2025Sep30CustomUnified'!$AE28:$AF28)</f>
        <v>125.99</v>
      </c>
      <c r="AH28" s="220">
        <f>IF('2025Sep1-2025Sep30CustomUnified'!$C28="order",'2025Sep1-2025Sep30CustomUnified'!$G28,0)</f>
        <v>1</v>
      </c>
      <c r="AI28" s="220">
        <f>IF('2025Sep1-2025Sep30CustomUnified'!$C28="refund",-'2025Sep1-2025Sep30CustomUnified'!$G28,0)</f>
        <v>0</v>
      </c>
      <c r="AJ28" s="220">
        <f>SUM('2025Sep1-2025Sep30CustomUnified'!$AH28:$AI28)</f>
        <v>1</v>
      </c>
      <c r="AK28" s="220">
        <f>'2025Sep1-2025Sep30CustomUnified'!$Z28</f>
        <v>-18.9</v>
      </c>
      <c r="AL28" s="220">
        <f>'2025Sep1-2025Sep30CustomUnified'!$AA28+'2025Sep1-2025Sep30CustomUnified'!$W28+'2025Sep1-2025Sep30CustomUnified'!$U28+'2025Sep1-2025Sep30CustomUnified'!$S28+'2025Sep1-2025Sep30CustomUnified'!$Q28</f>
        <v>-25.95</v>
      </c>
      <c r="AM28" s="220">
        <f>SUM('2025Sep1-2025Sep30CustomUnified'!$AB28:$AC28)</f>
        <v>0</v>
      </c>
      <c r="AN28" s="220">
        <f>SUM('2025Sep1-2025Sep30CustomUnified'!$AK28:$AM28)</f>
        <v>-44.85</v>
      </c>
      <c r="AO28" s="220">
        <f>'2025Sep1-2025Sep30CustomUnified'!$AG28+'2025Sep1-2025Sep30CustomUnified'!$AN28</f>
        <v>81.14</v>
      </c>
    </row>
    <row r="29" ht="15.75" hidden="1" customHeight="1">
      <c r="A29" s="220" t="s">
        <v>545</v>
      </c>
      <c r="B29" s="220">
        <v>2.4450080321E10</v>
      </c>
      <c r="C29" s="220" t="s">
        <v>443</v>
      </c>
      <c r="D29" s="220" t="s">
        <v>546</v>
      </c>
      <c r="E29" s="220" t="s">
        <v>227</v>
      </c>
      <c r="F29" s="220" t="s">
        <v>547</v>
      </c>
      <c r="G29" s="220">
        <v>1.0</v>
      </c>
      <c r="H29" s="220" t="s">
        <v>446</v>
      </c>
      <c r="I29" s="220" t="s">
        <v>447</v>
      </c>
      <c r="J29" s="220" t="s">
        <v>448</v>
      </c>
      <c r="K29" s="220" t="s">
        <v>548</v>
      </c>
      <c r="L29" s="220" t="s">
        <v>549</v>
      </c>
      <c r="M29" s="220">
        <v>78738.0</v>
      </c>
      <c r="N29" s="220" t="s">
        <v>451</v>
      </c>
      <c r="O29" s="220">
        <v>113.39</v>
      </c>
      <c r="P29" s="220">
        <v>9.35</v>
      </c>
      <c r="Q29" s="220">
        <v>0.0</v>
      </c>
      <c r="R29" s="220">
        <v>0.0</v>
      </c>
      <c r="S29" s="220">
        <v>0.0</v>
      </c>
      <c r="T29" s="220">
        <v>0.0</v>
      </c>
      <c r="U29" s="220">
        <v>0.0</v>
      </c>
      <c r="V29" s="220">
        <v>0.0</v>
      </c>
      <c r="W29" s="220">
        <v>0.0</v>
      </c>
      <c r="X29" s="220">
        <v>0.0</v>
      </c>
      <c r="Y29" s="220">
        <v>-9.35</v>
      </c>
      <c r="Z29" s="220">
        <v>-17.01</v>
      </c>
      <c r="AA29" s="220">
        <v>-24.43</v>
      </c>
      <c r="AB29" s="220">
        <v>0.0</v>
      </c>
      <c r="AC29" s="220">
        <v>0.0</v>
      </c>
      <c r="AD29" s="220">
        <v>71.95</v>
      </c>
      <c r="AE29" s="220">
        <f>IF('2025Sep1-2025Sep30CustomUnified'!$C29="order",'2025Sep1-2025Sep30CustomUnified'!$O29,0)</f>
        <v>113.39</v>
      </c>
      <c r="AF29" s="220">
        <f>IF('2025Sep1-2025Sep30CustomUnified'!$C29="refund",'2025Sep1-2025Sep30CustomUnified'!$O29,0)</f>
        <v>0</v>
      </c>
      <c r="AG29" s="220">
        <f>SUM('2025Sep1-2025Sep30CustomUnified'!$AE29:$AF29)</f>
        <v>113.39</v>
      </c>
      <c r="AH29" s="220">
        <f>IF('2025Sep1-2025Sep30CustomUnified'!$C29="order",'2025Sep1-2025Sep30CustomUnified'!$G29,0)</f>
        <v>1</v>
      </c>
      <c r="AI29" s="220">
        <f>IF('2025Sep1-2025Sep30CustomUnified'!$C29="refund",-'2025Sep1-2025Sep30CustomUnified'!$G29,0)</f>
        <v>0</v>
      </c>
      <c r="AJ29" s="220">
        <f>SUM('2025Sep1-2025Sep30CustomUnified'!$AH29:$AI29)</f>
        <v>1</v>
      </c>
      <c r="AK29" s="220">
        <f>'2025Sep1-2025Sep30CustomUnified'!$Z29</f>
        <v>-17.01</v>
      </c>
      <c r="AL29" s="220">
        <f>'2025Sep1-2025Sep30CustomUnified'!$AA29+'2025Sep1-2025Sep30CustomUnified'!$W29+'2025Sep1-2025Sep30CustomUnified'!$U29+'2025Sep1-2025Sep30CustomUnified'!$S29+'2025Sep1-2025Sep30CustomUnified'!$Q29</f>
        <v>-24.43</v>
      </c>
      <c r="AM29" s="220">
        <f>SUM('2025Sep1-2025Sep30CustomUnified'!$AB29:$AC29)</f>
        <v>0</v>
      </c>
      <c r="AN29" s="220">
        <f>SUM('2025Sep1-2025Sep30CustomUnified'!$AK29:$AM29)</f>
        <v>-41.44</v>
      </c>
      <c r="AO29" s="220">
        <f>'2025Sep1-2025Sep30CustomUnified'!$AG29+'2025Sep1-2025Sep30CustomUnified'!$AN29</f>
        <v>71.95</v>
      </c>
    </row>
    <row r="30" ht="15.75" hidden="1" customHeight="1">
      <c r="A30" s="220" t="s">
        <v>550</v>
      </c>
      <c r="B30" s="220">
        <v>2.4450080321E10</v>
      </c>
      <c r="C30" s="220" t="s">
        <v>466</v>
      </c>
      <c r="D30" s="220" t="s">
        <v>551</v>
      </c>
      <c r="E30" s="220" t="s">
        <v>228</v>
      </c>
      <c r="F30" s="220" t="s">
        <v>458</v>
      </c>
      <c r="G30" s="220">
        <v>1.0</v>
      </c>
      <c r="H30" s="220" t="s">
        <v>446</v>
      </c>
      <c r="I30" s="220" t="s">
        <v>447</v>
      </c>
      <c r="J30" s="220" t="s">
        <v>448</v>
      </c>
      <c r="K30" s="220" t="s">
        <v>489</v>
      </c>
      <c r="L30" s="220" t="s">
        <v>455</v>
      </c>
      <c r="M30" s="220">
        <v>90036.0</v>
      </c>
      <c r="N30" s="220" t="s">
        <v>451</v>
      </c>
      <c r="O30" s="220">
        <v>-219.89</v>
      </c>
      <c r="P30" s="220">
        <v>-21.44</v>
      </c>
      <c r="Q30" s="220">
        <v>0.0</v>
      </c>
      <c r="R30" s="220">
        <v>0.0</v>
      </c>
      <c r="S30" s="220">
        <v>0.0</v>
      </c>
      <c r="T30" s="220">
        <v>0.0</v>
      </c>
      <c r="U30" s="220">
        <v>0.0</v>
      </c>
      <c r="V30" s="220">
        <v>0.0</v>
      </c>
      <c r="W30" s="220">
        <v>0.0</v>
      </c>
      <c r="X30" s="220">
        <v>0.0</v>
      </c>
      <c r="Y30" s="220">
        <v>21.44</v>
      </c>
      <c r="Z30" s="220">
        <v>26.99</v>
      </c>
      <c r="AA30" s="220">
        <v>0.0</v>
      </c>
      <c r="AB30" s="220">
        <v>0.0</v>
      </c>
      <c r="AC30" s="220">
        <v>0.0</v>
      </c>
      <c r="AD30" s="220">
        <v>-192.9</v>
      </c>
      <c r="AE30" s="220">
        <f>IF('2025Sep1-2025Sep30CustomUnified'!$C30="order",'2025Sep1-2025Sep30CustomUnified'!$O30,0)</f>
        <v>0</v>
      </c>
      <c r="AF30" s="220">
        <f>IF('2025Sep1-2025Sep30CustomUnified'!$C30="refund",'2025Sep1-2025Sep30CustomUnified'!$O30,0)</f>
        <v>-219.89</v>
      </c>
      <c r="AG30" s="220">
        <f>SUM('2025Sep1-2025Sep30CustomUnified'!$AE30:$AF30)</f>
        <v>-219.89</v>
      </c>
      <c r="AH30" s="220">
        <f>IF('2025Sep1-2025Sep30CustomUnified'!$C30="order",'2025Sep1-2025Sep30CustomUnified'!$G30,0)</f>
        <v>0</v>
      </c>
      <c r="AI30" s="220">
        <f>IF('2025Sep1-2025Sep30CustomUnified'!$C30="refund",-'2025Sep1-2025Sep30CustomUnified'!$G30,0)</f>
        <v>-1</v>
      </c>
      <c r="AJ30" s="220">
        <f>SUM('2025Sep1-2025Sep30CustomUnified'!$AH30:$AI30)</f>
        <v>-1</v>
      </c>
      <c r="AK30" s="220">
        <f>'2025Sep1-2025Sep30CustomUnified'!$Z30</f>
        <v>26.99</v>
      </c>
      <c r="AL30" s="220">
        <f>'2025Sep1-2025Sep30CustomUnified'!$AA30+'2025Sep1-2025Sep30CustomUnified'!$W30+'2025Sep1-2025Sep30CustomUnified'!$U30+'2025Sep1-2025Sep30CustomUnified'!$S30+'2025Sep1-2025Sep30CustomUnified'!$Q30</f>
        <v>0</v>
      </c>
      <c r="AM30" s="220">
        <f>SUM('2025Sep1-2025Sep30CustomUnified'!$AB30:$AC30)</f>
        <v>0</v>
      </c>
      <c r="AN30" s="220">
        <f>SUM('2025Sep1-2025Sep30CustomUnified'!$AK30:$AM30)</f>
        <v>26.99</v>
      </c>
      <c r="AO30" s="220">
        <f>'2025Sep1-2025Sep30CustomUnified'!$AG30+'2025Sep1-2025Sep30CustomUnified'!$AN30</f>
        <v>-192.9</v>
      </c>
    </row>
    <row r="31" ht="15.75" hidden="1" customHeight="1">
      <c r="A31" s="220" t="s">
        <v>552</v>
      </c>
      <c r="B31" s="220">
        <v>2.4450080321E10</v>
      </c>
      <c r="C31" s="220" t="s">
        <v>466</v>
      </c>
      <c r="D31" s="220" t="s">
        <v>553</v>
      </c>
      <c r="E31" s="220" t="s">
        <v>228</v>
      </c>
      <c r="F31" s="220" t="s">
        <v>458</v>
      </c>
      <c r="G31" s="220">
        <v>1.0</v>
      </c>
      <c r="H31" s="220" t="s">
        <v>446</v>
      </c>
      <c r="I31" s="220" t="s">
        <v>447</v>
      </c>
      <c r="J31" s="220" t="s">
        <v>448</v>
      </c>
      <c r="K31" s="220" t="s">
        <v>554</v>
      </c>
      <c r="L31" s="220" t="s">
        <v>460</v>
      </c>
      <c r="M31" s="220">
        <v>10003.0</v>
      </c>
      <c r="N31" s="220" t="s">
        <v>451</v>
      </c>
      <c r="O31" s="220">
        <v>-219.99</v>
      </c>
      <c r="P31" s="220">
        <v>-18.55</v>
      </c>
      <c r="Q31" s="220">
        <v>0.0</v>
      </c>
      <c r="R31" s="220">
        <v>0.0</v>
      </c>
      <c r="S31" s="220">
        <v>0.0</v>
      </c>
      <c r="T31" s="220">
        <v>0.0</v>
      </c>
      <c r="U31" s="220">
        <v>0.0</v>
      </c>
      <c r="V31" s="220">
        <v>0.0</v>
      </c>
      <c r="W31" s="220">
        <v>11.0</v>
      </c>
      <c r="X31" s="220">
        <v>0.0</v>
      </c>
      <c r="Y31" s="220">
        <v>18.55</v>
      </c>
      <c r="Z31" s="220">
        <v>25.9</v>
      </c>
      <c r="AA31" s="220">
        <v>0.0</v>
      </c>
      <c r="AB31" s="220">
        <v>0.0</v>
      </c>
      <c r="AC31" s="220">
        <v>0.0</v>
      </c>
      <c r="AD31" s="220">
        <v>-183.09</v>
      </c>
      <c r="AE31" s="220">
        <f>IF('2025Sep1-2025Sep30CustomUnified'!$C31="order",'2025Sep1-2025Sep30CustomUnified'!$O31,0)</f>
        <v>0</v>
      </c>
      <c r="AF31" s="220">
        <f>IF('2025Sep1-2025Sep30CustomUnified'!$C31="refund",'2025Sep1-2025Sep30CustomUnified'!$O31,0)</f>
        <v>-219.99</v>
      </c>
      <c r="AG31" s="220">
        <f>SUM('2025Sep1-2025Sep30CustomUnified'!$AE31:$AF31)</f>
        <v>-219.99</v>
      </c>
      <c r="AH31" s="220">
        <f>IF('2025Sep1-2025Sep30CustomUnified'!$C31="order",'2025Sep1-2025Sep30CustomUnified'!$G31,0)</f>
        <v>0</v>
      </c>
      <c r="AI31" s="220">
        <f>IF('2025Sep1-2025Sep30CustomUnified'!$C31="refund",-'2025Sep1-2025Sep30CustomUnified'!$G31,0)</f>
        <v>-1</v>
      </c>
      <c r="AJ31" s="220">
        <f>SUM('2025Sep1-2025Sep30CustomUnified'!$AH31:$AI31)</f>
        <v>-1</v>
      </c>
      <c r="AK31" s="220">
        <f>'2025Sep1-2025Sep30CustomUnified'!$Z31</f>
        <v>25.9</v>
      </c>
      <c r="AL31" s="220">
        <f>'2025Sep1-2025Sep30CustomUnified'!$AA31+'2025Sep1-2025Sep30CustomUnified'!$W31+'2025Sep1-2025Sep30CustomUnified'!$U31+'2025Sep1-2025Sep30CustomUnified'!$S31+'2025Sep1-2025Sep30CustomUnified'!$Q31</f>
        <v>11</v>
      </c>
      <c r="AM31" s="220">
        <f>SUM('2025Sep1-2025Sep30CustomUnified'!$AB31:$AC31)</f>
        <v>0</v>
      </c>
      <c r="AN31" s="220">
        <f>SUM('2025Sep1-2025Sep30CustomUnified'!$AK31:$AM31)</f>
        <v>36.9</v>
      </c>
      <c r="AO31" s="220">
        <f>'2025Sep1-2025Sep30CustomUnified'!$AG31+'2025Sep1-2025Sep30CustomUnified'!$AN31</f>
        <v>-183.09</v>
      </c>
    </row>
    <row r="32" ht="15.75" hidden="1" customHeight="1">
      <c r="A32" s="220" t="s">
        <v>555</v>
      </c>
      <c r="B32" s="220">
        <v>2.4450080321E10</v>
      </c>
      <c r="C32" s="220" t="s">
        <v>443</v>
      </c>
      <c r="D32" s="220" t="s">
        <v>556</v>
      </c>
      <c r="E32" s="220" t="s">
        <v>396</v>
      </c>
      <c r="F32" s="220" t="s">
        <v>557</v>
      </c>
      <c r="G32" s="220">
        <v>1.0</v>
      </c>
      <c r="H32" s="220" t="s">
        <v>446</v>
      </c>
      <c r="I32" s="220" t="s">
        <v>447</v>
      </c>
      <c r="J32" s="220" t="s">
        <v>448</v>
      </c>
      <c r="K32" s="220" t="s">
        <v>558</v>
      </c>
      <c r="L32" s="220" t="s">
        <v>455</v>
      </c>
      <c r="M32" s="220">
        <v>92131.0</v>
      </c>
      <c r="N32" s="220" t="s">
        <v>451</v>
      </c>
      <c r="O32" s="220">
        <v>179.99</v>
      </c>
      <c r="P32" s="220">
        <v>13.25</v>
      </c>
      <c r="Q32" s="220">
        <v>0.0</v>
      </c>
      <c r="R32" s="220">
        <v>0.0</v>
      </c>
      <c r="S32" s="220">
        <v>0.0</v>
      </c>
      <c r="T32" s="220">
        <v>0.0</v>
      </c>
      <c r="U32" s="220">
        <v>0.0</v>
      </c>
      <c r="V32" s="220">
        <v>0.0</v>
      </c>
      <c r="W32" s="220">
        <v>-9.0</v>
      </c>
      <c r="X32" s="220">
        <v>0.0</v>
      </c>
      <c r="Y32" s="220">
        <v>-13.25</v>
      </c>
      <c r="Z32" s="220">
        <v>-25.65</v>
      </c>
      <c r="AA32" s="220">
        <v>-21.77</v>
      </c>
      <c r="AB32" s="220">
        <v>0.0</v>
      </c>
      <c r="AC32" s="220">
        <v>0.0</v>
      </c>
      <c r="AD32" s="220">
        <v>123.57</v>
      </c>
      <c r="AE32" s="220">
        <f>IF('2025Sep1-2025Sep30CustomUnified'!$C32="order",'2025Sep1-2025Sep30CustomUnified'!$O32,0)</f>
        <v>179.99</v>
      </c>
      <c r="AF32" s="220">
        <f>IF('2025Sep1-2025Sep30CustomUnified'!$C32="refund",'2025Sep1-2025Sep30CustomUnified'!$O32,0)</f>
        <v>0</v>
      </c>
      <c r="AG32" s="220">
        <f>SUM('2025Sep1-2025Sep30CustomUnified'!$AE32:$AF32)</f>
        <v>179.99</v>
      </c>
      <c r="AH32" s="220">
        <f>IF('2025Sep1-2025Sep30CustomUnified'!$C32="order",'2025Sep1-2025Sep30CustomUnified'!$G32,0)</f>
        <v>1</v>
      </c>
      <c r="AI32" s="220">
        <f>IF('2025Sep1-2025Sep30CustomUnified'!$C32="refund",-'2025Sep1-2025Sep30CustomUnified'!$G32,0)</f>
        <v>0</v>
      </c>
      <c r="AJ32" s="220">
        <f>SUM('2025Sep1-2025Sep30CustomUnified'!$AH32:$AI32)</f>
        <v>1</v>
      </c>
      <c r="AK32" s="220">
        <f>'2025Sep1-2025Sep30CustomUnified'!$Z32</f>
        <v>-25.65</v>
      </c>
      <c r="AL32" s="220">
        <f>'2025Sep1-2025Sep30CustomUnified'!$AA32+'2025Sep1-2025Sep30CustomUnified'!$W32+'2025Sep1-2025Sep30CustomUnified'!$U32+'2025Sep1-2025Sep30CustomUnified'!$S32+'2025Sep1-2025Sep30CustomUnified'!$Q32</f>
        <v>-30.77</v>
      </c>
      <c r="AM32" s="220">
        <f>SUM('2025Sep1-2025Sep30CustomUnified'!$AB32:$AC32)</f>
        <v>0</v>
      </c>
      <c r="AN32" s="220">
        <f>SUM('2025Sep1-2025Sep30CustomUnified'!$AK32:$AM32)</f>
        <v>-56.42</v>
      </c>
      <c r="AO32" s="220">
        <f>'2025Sep1-2025Sep30CustomUnified'!$AG32+'2025Sep1-2025Sep30CustomUnified'!$AN32</f>
        <v>123.57</v>
      </c>
    </row>
    <row r="33" ht="15.75" hidden="1" customHeight="1">
      <c r="A33" s="220" t="s">
        <v>559</v>
      </c>
      <c r="B33" s="220">
        <v>2.4450080321E10</v>
      </c>
      <c r="C33" s="220" t="s">
        <v>443</v>
      </c>
      <c r="D33" s="220" t="s">
        <v>560</v>
      </c>
      <c r="E33" s="220" t="s">
        <v>224</v>
      </c>
      <c r="F33" s="220" t="s">
        <v>495</v>
      </c>
      <c r="G33" s="220">
        <v>1.0</v>
      </c>
      <c r="H33" s="220" t="s">
        <v>446</v>
      </c>
      <c r="I33" s="220" t="s">
        <v>447</v>
      </c>
      <c r="J33" s="220" t="s">
        <v>448</v>
      </c>
      <c r="K33" s="220" t="s">
        <v>561</v>
      </c>
      <c r="L33" s="220" t="s">
        <v>455</v>
      </c>
      <c r="M33" s="220">
        <v>91377.0</v>
      </c>
      <c r="N33" s="220" t="s">
        <v>451</v>
      </c>
      <c r="O33" s="220">
        <v>129.99</v>
      </c>
      <c r="P33" s="220">
        <v>8.95</v>
      </c>
      <c r="Q33" s="220">
        <v>0.0</v>
      </c>
      <c r="R33" s="220">
        <v>0.0</v>
      </c>
      <c r="S33" s="220">
        <v>0.0</v>
      </c>
      <c r="T33" s="220">
        <v>0.0</v>
      </c>
      <c r="U33" s="220">
        <v>0.0</v>
      </c>
      <c r="V33" s="220">
        <v>0.0</v>
      </c>
      <c r="W33" s="220">
        <v>-6.5</v>
      </c>
      <c r="X33" s="220">
        <v>0.0</v>
      </c>
      <c r="Y33" s="220">
        <v>-8.95</v>
      </c>
      <c r="Z33" s="220">
        <v>-18.52</v>
      </c>
      <c r="AA33" s="220">
        <v>-16.45</v>
      </c>
      <c r="AB33" s="220">
        <v>0.0</v>
      </c>
      <c r="AC33" s="220">
        <v>0.0</v>
      </c>
      <c r="AD33" s="220">
        <v>88.52</v>
      </c>
      <c r="AE33" s="220">
        <f>IF('2025Sep1-2025Sep30CustomUnified'!$C33="order",'2025Sep1-2025Sep30CustomUnified'!$O33,0)</f>
        <v>129.99</v>
      </c>
      <c r="AF33" s="220">
        <f>IF('2025Sep1-2025Sep30CustomUnified'!$C33="refund",'2025Sep1-2025Sep30CustomUnified'!$O33,0)</f>
        <v>0</v>
      </c>
      <c r="AG33" s="220">
        <f>SUM('2025Sep1-2025Sep30CustomUnified'!$AE33:$AF33)</f>
        <v>129.99</v>
      </c>
      <c r="AH33" s="220">
        <f>IF('2025Sep1-2025Sep30CustomUnified'!$C33="order",'2025Sep1-2025Sep30CustomUnified'!$G33,0)</f>
        <v>1</v>
      </c>
      <c r="AI33" s="220">
        <f>IF('2025Sep1-2025Sep30CustomUnified'!$C33="refund",-'2025Sep1-2025Sep30CustomUnified'!$G33,0)</f>
        <v>0</v>
      </c>
      <c r="AJ33" s="220">
        <f>SUM('2025Sep1-2025Sep30CustomUnified'!$AH33:$AI33)</f>
        <v>1</v>
      </c>
      <c r="AK33" s="220">
        <f>'2025Sep1-2025Sep30CustomUnified'!$Z33</f>
        <v>-18.52</v>
      </c>
      <c r="AL33" s="220">
        <f>'2025Sep1-2025Sep30CustomUnified'!$AA33+'2025Sep1-2025Sep30CustomUnified'!$W33+'2025Sep1-2025Sep30CustomUnified'!$U33+'2025Sep1-2025Sep30CustomUnified'!$S33+'2025Sep1-2025Sep30CustomUnified'!$Q33</f>
        <v>-22.95</v>
      </c>
      <c r="AM33" s="220">
        <f>SUM('2025Sep1-2025Sep30CustomUnified'!$AB33:$AC33)</f>
        <v>0</v>
      </c>
      <c r="AN33" s="220">
        <f>SUM('2025Sep1-2025Sep30CustomUnified'!$AK33:$AM33)</f>
        <v>-41.47</v>
      </c>
      <c r="AO33" s="220">
        <f>'2025Sep1-2025Sep30CustomUnified'!$AG33+'2025Sep1-2025Sep30CustomUnified'!$AN33</f>
        <v>88.52</v>
      </c>
    </row>
    <row r="34" ht="15.75" hidden="1" customHeight="1">
      <c r="A34" s="220" t="s">
        <v>562</v>
      </c>
      <c r="B34" s="220">
        <v>2.4450080321E10</v>
      </c>
      <c r="C34" s="220" t="s">
        <v>443</v>
      </c>
      <c r="D34" s="220" t="s">
        <v>553</v>
      </c>
      <c r="E34" s="220" t="s">
        <v>228</v>
      </c>
      <c r="F34" s="220" t="s">
        <v>458</v>
      </c>
      <c r="G34" s="220">
        <v>1.0</v>
      </c>
      <c r="H34" s="220" t="s">
        <v>446</v>
      </c>
      <c r="I34" s="220" t="s">
        <v>447</v>
      </c>
      <c r="J34" s="220" t="s">
        <v>448</v>
      </c>
      <c r="K34" s="220" t="s">
        <v>554</v>
      </c>
      <c r="L34" s="220" t="s">
        <v>460</v>
      </c>
      <c r="M34" s="220">
        <v>10003.0</v>
      </c>
      <c r="N34" s="220" t="s">
        <v>451</v>
      </c>
      <c r="O34" s="220">
        <v>219.99</v>
      </c>
      <c r="P34" s="220">
        <v>18.55</v>
      </c>
      <c r="Q34" s="220">
        <v>0.0</v>
      </c>
      <c r="R34" s="220">
        <v>0.0</v>
      </c>
      <c r="S34" s="220">
        <v>0.0</v>
      </c>
      <c r="T34" s="220">
        <v>0.0</v>
      </c>
      <c r="U34" s="220">
        <v>0.0</v>
      </c>
      <c r="V34" s="220">
        <v>0.0</v>
      </c>
      <c r="W34" s="220">
        <v>-11.0</v>
      </c>
      <c r="X34" s="220">
        <v>0.0</v>
      </c>
      <c r="Y34" s="220">
        <v>-18.55</v>
      </c>
      <c r="Z34" s="220">
        <v>-30.9</v>
      </c>
      <c r="AA34" s="220">
        <v>-21.39</v>
      </c>
      <c r="AB34" s="220">
        <v>0.0</v>
      </c>
      <c r="AC34" s="220">
        <v>0.0</v>
      </c>
      <c r="AD34" s="220">
        <v>156.7</v>
      </c>
      <c r="AE34" s="220">
        <f>IF('2025Sep1-2025Sep30CustomUnified'!$C34="order",'2025Sep1-2025Sep30CustomUnified'!$O34,0)</f>
        <v>219.99</v>
      </c>
      <c r="AF34" s="220">
        <f>IF('2025Sep1-2025Sep30CustomUnified'!$C34="refund",'2025Sep1-2025Sep30CustomUnified'!$O34,0)</f>
        <v>0</v>
      </c>
      <c r="AG34" s="220">
        <f>SUM('2025Sep1-2025Sep30CustomUnified'!$AE34:$AF34)</f>
        <v>219.99</v>
      </c>
      <c r="AH34" s="220">
        <f>IF('2025Sep1-2025Sep30CustomUnified'!$C34="order",'2025Sep1-2025Sep30CustomUnified'!$G34,0)</f>
        <v>1</v>
      </c>
      <c r="AI34" s="220">
        <f>IF('2025Sep1-2025Sep30CustomUnified'!$C34="refund",-'2025Sep1-2025Sep30CustomUnified'!$G34,0)</f>
        <v>0</v>
      </c>
      <c r="AJ34" s="220">
        <f>SUM('2025Sep1-2025Sep30CustomUnified'!$AH34:$AI34)</f>
        <v>1</v>
      </c>
      <c r="AK34" s="220">
        <f>'2025Sep1-2025Sep30CustomUnified'!$Z34</f>
        <v>-30.9</v>
      </c>
      <c r="AL34" s="220">
        <f>'2025Sep1-2025Sep30CustomUnified'!$AA34+'2025Sep1-2025Sep30CustomUnified'!$W34+'2025Sep1-2025Sep30CustomUnified'!$U34+'2025Sep1-2025Sep30CustomUnified'!$S34+'2025Sep1-2025Sep30CustomUnified'!$Q34</f>
        <v>-32.39</v>
      </c>
      <c r="AM34" s="220">
        <f>SUM('2025Sep1-2025Sep30CustomUnified'!$AB34:$AC34)</f>
        <v>0</v>
      </c>
      <c r="AN34" s="220">
        <f>SUM('2025Sep1-2025Sep30CustomUnified'!$AK34:$AM34)</f>
        <v>-63.29</v>
      </c>
      <c r="AO34" s="220">
        <f>'2025Sep1-2025Sep30CustomUnified'!$AG34+'2025Sep1-2025Sep30CustomUnified'!$AN34</f>
        <v>156.7</v>
      </c>
    </row>
    <row r="35" ht="15.75" hidden="1" customHeight="1">
      <c r="A35" s="220" t="s">
        <v>563</v>
      </c>
      <c r="B35" s="220">
        <v>2.4450080321E10</v>
      </c>
      <c r="C35" s="220" t="s">
        <v>443</v>
      </c>
      <c r="D35" s="220" t="s">
        <v>564</v>
      </c>
      <c r="E35" s="220" t="s">
        <v>229</v>
      </c>
      <c r="F35" s="220" t="s">
        <v>501</v>
      </c>
      <c r="G35" s="220">
        <v>1.0</v>
      </c>
      <c r="H35" s="220" t="s">
        <v>446</v>
      </c>
      <c r="I35" s="220" t="s">
        <v>447</v>
      </c>
      <c r="J35" s="220" t="s">
        <v>448</v>
      </c>
      <c r="K35" s="220" t="s">
        <v>558</v>
      </c>
      <c r="L35" s="220" t="s">
        <v>455</v>
      </c>
      <c r="M35" s="220">
        <v>92105.0</v>
      </c>
      <c r="N35" s="220" t="s">
        <v>451</v>
      </c>
      <c r="O35" s="220">
        <v>94.99</v>
      </c>
      <c r="P35" s="220">
        <v>7.36</v>
      </c>
      <c r="Q35" s="220">
        <v>0.0</v>
      </c>
      <c r="R35" s="220">
        <v>0.0</v>
      </c>
      <c r="S35" s="220">
        <v>0.0</v>
      </c>
      <c r="T35" s="220">
        <v>0.0</v>
      </c>
      <c r="U35" s="220">
        <v>0.0</v>
      </c>
      <c r="V35" s="220">
        <v>0.0</v>
      </c>
      <c r="W35" s="220">
        <v>0.0</v>
      </c>
      <c r="X35" s="220">
        <v>0.0</v>
      </c>
      <c r="Y35" s="220">
        <v>-7.36</v>
      </c>
      <c r="Z35" s="220">
        <v>-14.25</v>
      </c>
      <c r="AA35" s="220">
        <v>-13.03</v>
      </c>
      <c r="AB35" s="220">
        <v>0.0</v>
      </c>
      <c r="AC35" s="220">
        <v>0.0</v>
      </c>
      <c r="AD35" s="220">
        <v>67.71</v>
      </c>
      <c r="AE35" s="220">
        <f>IF('2025Sep1-2025Sep30CustomUnified'!$C35="order",'2025Sep1-2025Sep30CustomUnified'!$O35,0)</f>
        <v>94.99</v>
      </c>
      <c r="AF35" s="220">
        <f>IF('2025Sep1-2025Sep30CustomUnified'!$C35="refund",'2025Sep1-2025Sep30CustomUnified'!$O35,0)</f>
        <v>0</v>
      </c>
      <c r="AG35" s="220">
        <f>SUM('2025Sep1-2025Sep30CustomUnified'!$AE35:$AF35)</f>
        <v>94.99</v>
      </c>
      <c r="AH35" s="220">
        <f>IF('2025Sep1-2025Sep30CustomUnified'!$C35="order",'2025Sep1-2025Sep30CustomUnified'!$G35,0)</f>
        <v>1</v>
      </c>
      <c r="AI35" s="220">
        <f>IF('2025Sep1-2025Sep30CustomUnified'!$C35="refund",-'2025Sep1-2025Sep30CustomUnified'!$G35,0)</f>
        <v>0</v>
      </c>
      <c r="AJ35" s="220">
        <f>SUM('2025Sep1-2025Sep30CustomUnified'!$AH35:$AI35)</f>
        <v>1</v>
      </c>
      <c r="AK35" s="220">
        <f>'2025Sep1-2025Sep30CustomUnified'!$Z35</f>
        <v>-14.25</v>
      </c>
      <c r="AL35" s="220">
        <f>'2025Sep1-2025Sep30CustomUnified'!$AA35+'2025Sep1-2025Sep30CustomUnified'!$W35+'2025Sep1-2025Sep30CustomUnified'!$U35+'2025Sep1-2025Sep30CustomUnified'!$S35+'2025Sep1-2025Sep30CustomUnified'!$Q35</f>
        <v>-13.03</v>
      </c>
      <c r="AM35" s="220">
        <f>SUM('2025Sep1-2025Sep30CustomUnified'!$AB35:$AC35)</f>
        <v>0</v>
      </c>
      <c r="AN35" s="220">
        <f>SUM('2025Sep1-2025Sep30CustomUnified'!$AK35:$AM35)</f>
        <v>-27.28</v>
      </c>
      <c r="AO35" s="220">
        <f>'2025Sep1-2025Sep30CustomUnified'!$AG35+'2025Sep1-2025Sep30CustomUnified'!$AN35</f>
        <v>67.71</v>
      </c>
    </row>
    <row r="36" ht="15.75" hidden="1" customHeight="1">
      <c r="A36" s="220" t="s">
        <v>565</v>
      </c>
      <c r="B36" s="220">
        <v>2.4450080321E10</v>
      </c>
      <c r="C36" s="220" t="s">
        <v>443</v>
      </c>
      <c r="D36" s="220" t="s">
        <v>566</v>
      </c>
      <c r="E36" s="220" t="s">
        <v>229</v>
      </c>
      <c r="F36" s="220" t="s">
        <v>501</v>
      </c>
      <c r="G36" s="220">
        <v>1.0</v>
      </c>
      <c r="H36" s="220" t="s">
        <v>446</v>
      </c>
      <c r="I36" s="220" t="s">
        <v>447</v>
      </c>
      <c r="J36" s="220" t="s">
        <v>448</v>
      </c>
      <c r="K36" s="220" t="s">
        <v>567</v>
      </c>
      <c r="L36" s="220" t="s">
        <v>568</v>
      </c>
      <c r="M36" s="220">
        <v>15401.0</v>
      </c>
      <c r="N36" s="220" t="s">
        <v>451</v>
      </c>
      <c r="O36" s="220">
        <v>94.99</v>
      </c>
      <c r="P36" s="220">
        <v>5.7</v>
      </c>
      <c r="Q36" s="220">
        <v>0.0</v>
      </c>
      <c r="R36" s="220">
        <v>0.0</v>
      </c>
      <c r="S36" s="220">
        <v>0.0</v>
      </c>
      <c r="T36" s="220">
        <v>0.0</v>
      </c>
      <c r="U36" s="220">
        <v>0.0</v>
      </c>
      <c r="V36" s="220">
        <v>0.0</v>
      </c>
      <c r="W36" s="220">
        <v>0.0</v>
      </c>
      <c r="X36" s="220">
        <v>0.0</v>
      </c>
      <c r="Y36" s="220">
        <v>-5.7</v>
      </c>
      <c r="Z36" s="220">
        <v>-14.25</v>
      </c>
      <c r="AA36" s="220">
        <v>-13.03</v>
      </c>
      <c r="AB36" s="220">
        <v>0.0</v>
      </c>
      <c r="AC36" s="220">
        <v>0.0</v>
      </c>
      <c r="AD36" s="220">
        <v>67.71</v>
      </c>
      <c r="AE36" s="220">
        <f>IF('2025Sep1-2025Sep30CustomUnified'!$C36="order",'2025Sep1-2025Sep30CustomUnified'!$O36,0)</f>
        <v>94.99</v>
      </c>
      <c r="AF36" s="220">
        <f>IF('2025Sep1-2025Sep30CustomUnified'!$C36="refund",'2025Sep1-2025Sep30CustomUnified'!$O36,0)</f>
        <v>0</v>
      </c>
      <c r="AG36" s="220">
        <f>SUM('2025Sep1-2025Sep30CustomUnified'!$AE36:$AF36)</f>
        <v>94.99</v>
      </c>
      <c r="AH36" s="220">
        <f>IF('2025Sep1-2025Sep30CustomUnified'!$C36="order",'2025Sep1-2025Sep30CustomUnified'!$G36,0)</f>
        <v>1</v>
      </c>
      <c r="AI36" s="220">
        <f>IF('2025Sep1-2025Sep30CustomUnified'!$C36="refund",-'2025Sep1-2025Sep30CustomUnified'!$G36,0)</f>
        <v>0</v>
      </c>
      <c r="AJ36" s="220">
        <f>SUM('2025Sep1-2025Sep30CustomUnified'!$AH36:$AI36)</f>
        <v>1</v>
      </c>
      <c r="AK36" s="220">
        <f>'2025Sep1-2025Sep30CustomUnified'!$Z36</f>
        <v>-14.25</v>
      </c>
      <c r="AL36" s="220">
        <f>'2025Sep1-2025Sep30CustomUnified'!$AA36+'2025Sep1-2025Sep30CustomUnified'!$W36+'2025Sep1-2025Sep30CustomUnified'!$U36+'2025Sep1-2025Sep30CustomUnified'!$S36+'2025Sep1-2025Sep30CustomUnified'!$Q36</f>
        <v>-13.03</v>
      </c>
      <c r="AM36" s="220">
        <f>SUM('2025Sep1-2025Sep30CustomUnified'!$AB36:$AC36)</f>
        <v>0</v>
      </c>
      <c r="AN36" s="220">
        <f>SUM('2025Sep1-2025Sep30CustomUnified'!$AK36:$AM36)</f>
        <v>-27.28</v>
      </c>
      <c r="AO36" s="220">
        <f>'2025Sep1-2025Sep30CustomUnified'!$AG36+'2025Sep1-2025Sep30CustomUnified'!$AN36</f>
        <v>67.71</v>
      </c>
    </row>
    <row r="37" ht="15.75" hidden="1" customHeight="1">
      <c r="A37" s="220" t="s">
        <v>569</v>
      </c>
      <c r="B37" s="220">
        <v>2.4450080321E10</v>
      </c>
      <c r="C37" s="220" t="s">
        <v>443</v>
      </c>
      <c r="D37" s="220" t="s">
        <v>570</v>
      </c>
      <c r="E37" s="220" t="s">
        <v>224</v>
      </c>
      <c r="F37" s="220" t="s">
        <v>495</v>
      </c>
      <c r="G37" s="220">
        <v>1.0</v>
      </c>
      <c r="H37" s="220" t="s">
        <v>446</v>
      </c>
      <c r="I37" s="220" t="s">
        <v>447</v>
      </c>
      <c r="J37" s="220" t="s">
        <v>448</v>
      </c>
      <c r="K37" s="220" t="s">
        <v>571</v>
      </c>
      <c r="L37" s="220" t="s">
        <v>520</v>
      </c>
      <c r="M37" s="221" t="s">
        <v>572</v>
      </c>
      <c r="N37" s="220" t="s">
        <v>451</v>
      </c>
      <c r="O37" s="220">
        <v>110.49</v>
      </c>
      <c r="P37" s="220">
        <v>6.95</v>
      </c>
      <c r="Q37" s="220">
        <v>0.0</v>
      </c>
      <c r="R37" s="220">
        <v>0.0</v>
      </c>
      <c r="S37" s="220">
        <v>0.0</v>
      </c>
      <c r="T37" s="220">
        <v>0.0</v>
      </c>
      <c r="U37" s="220">
        <v>0.0</v>
      </c>
      <c r="V37" s="220">
        <v>0.0</v>
      </c>
      <c r="W37" s="220">
        <v>-5.52</v>
      </c>
      <c r="X37" s="220">
        <v>0.0</v>
      </c>
      <c r="Y37" s="220">
        <v>-6.95</v>
      </c>
      <c r="Z37" s="220">
        <v>-15.75</v>
      </c>
      <c r="AA37" s="220">
        <v>-16.45</v>
      </c>
      <c r="AB37" s="220">
        <v>0.0</v>
      </c>
      <c r="AC37" s="220">
        <v>0.0</v>
      </c>
      <c r="AD37" s="220">
        <v>72.77</v>
      </c>
      <c r="AE37" s="220">
        <f>IF('2025Sep1-2025Sep30CustomUnified'!$C37="order",'2025Sep1-2025Sep30CustomUnified'!$O37,0)</f>
        <v>110.49</v>
      </c>
      <c r="AF37" s="220">
        <f>IF('2025Sep1-2025Sep30CustomUnified'!$C37="refund",'2025Sep1-2025Sep30CustomUnified'!$O37,0)</f>
        <v>0</v>
      </c>
      <c r="AG37" s="220">
        <f>SUM('2025Sep1-2025Sep30CustomUnified'!$AE37:$AF37)</f>
        <v>110.49</v>
      </c>
      <c r="AH37" s="220">
        <f>IF('2025Sep1-2025Sep30CustomUnified'!$C37="order",'2025Sep1-2025Sep30CustomUnified'!$G37,0)</f>
        <v>1</v>
      </c>
      <c r="AI37" s="220">
        <f>IF('2025Sep1-2025Sep30CustomUnified'!$C37="refund",-'2025Sep1-2025Sep30CustomUnified'!$G37,0)</f>
        <v>0</v>
      </c>
      <c r="AJ37" s="220">
        <f>SUM('2025Sep1-2025Sep30CustomUnified'!$AH37:$AI37)</f>
        <v>1</v>
      </c>
      <c r="AK37" s="220">
        <f>'2025Sep1-2025Sep30CustomUnified'!$Z37</f>
        <v>-15.75</v>
      </c>
      <c r="AL37" s="220">
        <f>'2025Sep1-2025Sep30CustomUnified'!$AA37+'2025Sep1-2025Sep30CustomUnified'!$W37+'2025Sep1-2025Sep30CustomUnified'!$U37+'2025Sep1-2025Sep30CustomUnified'!$S37+'2025Sep1-2025Sep30CustomUnified'!$Q37</f>
        <v>-21.97</v>
      </c>
      <c r="AM37" s="220">
        <f>SUM('2025Sep1-2025Sep30CustomUnified'!$AB37:$AC37)</f>
        <v>0</v>
      </c>
      <c r="AN37" s="220">
        <f>SUM('2025Sep1-2025Sep30CustomUnified'!$AK37:$AM37)</f>
        <v>-37.72</v>
      </c>
      <c r="AO37" s="220">
        <f>'2025Sep1-2025Sep30CustomUnified'!$AG37+'2025Sep1-2025Sep30CustomUnified'!$AN37</f>
        <v>72.77</v>
      </c>
    </row>
    <row r="38" ht="15.75" hidden="1" customHeight="1">
      <c r="A38" s="220" t="s">
        <v>573</v>
      </c>
      <c r="B38" s="220">
        <v>2.4450080321E10</v>
      </c>
      <c r="C38" s="220" t="s">
        <v>443</v>
      </c>
      <c r="D38" s="220" t="s">
        <v>574</v>
      </c>
      <c r="E38" s="220" t="s">
        <v>224</v>
      </c>
      <c r="F38" s="220" t="s">
        <v>495</v>
      </c>
      <c r="G38" s="220">
        <v>1.0</v>
      </c>
      <c r="H38" s="220" t="s">
        <v>446</v>
      </c>
      <c r="I38" s="220" t="s">
        <v>447</v>
      </c>
      <c r="J38" s="220" t="s">
        <v>448</v>
      </c>
      <c r="K38" s="220" t="s">
        <v>575</v>
      </c>
      <c r="L38" s="220" t="s">
        <v>568</v>
      </c>
      <c r="M38" s="220">
        <v>18015.0</v>
      </c>
      <c r="N38" s="220" t="s">
        <v>451</v>
      </c>
      <c r="O38" s="220">
        <v>129.99</v>
      </c>
      <c r="P38" s="220">
        <v>7.8</v>
      </c>
      <c r="Q38" s="220">
        <v>0.0</v>
      </c>
      <c r="R38" s="220">
        <v>0.0</v>
      </c>
      <c r="S38" s="220">
        <v>0.0</v>
      </c>
      <c r="T38" s="220">
        <v>0.0</v>
      </c>
      <c r="U38" s="220">
        <v>0.0</v>
      </c>
      <c r="V38" s="220">
        <v>0.0</v>
      </c>
      <c r="W38" s="220">
        <v>0.0</v>
      </c>
      <c r="X38" s="220">
        <v>0.0</v>
      </c>
      <c r="Y38" s="220">
        <v>-15.6</v>
      </c>
      <c r="Z38" s="220">
        <v>-39.0</v>
      </c>
      <c r="AA38" s="220">
        <v>-16.45</v>
      </c>
      <c r="AB38" s="220">
        <v>0.0</v>
      </c>
      <c r="AC38" s="220">
        <v>0.0</v>
      </c>
      <c r="AD38" s="220">
        <v>66.74</v>
      </c>
      <c r="AE38" s="220">
        <f>IF('2025Sep1-2025Sep30CustomUnified'!$C38="order",'2025Sep1-2025Sep30CustomUnified'!$O38,0)</f>
        <v>129.99</v>
      </c>
      <c r="AF38" s="220">
        <f>IF('2025Sep1-2025Sep30CustomUnified'!$C38="refund",'2025Sep1-2025Sep30CustomUnified'!$O38,0)</f>
        <v>0</v>
      </c>
      <c r="AG38" s="220">
        <f>SUM('2025Sep1-2025Sep30CustomUnified'!$AE38:$AF38)</f>
        <v>129.99</v>
      </c>
      <c r="AH38" s="220">
        <f>IF('2025Sep1-2025Sep30CustomUnified'!$C38="order",'2025Sep1-2025Sep30CustomUnified'!$G38,0)</f>
        <v>1</v>
      </c>
      <c r="AI38" s="220">
        <f>IF('2025Sep1-2025Sep30CustomUnified'!$C38="refund",-'2025Sep1-2025Sep30CustomUnified'!$G38,0)</f>
        <v>0</v>
      </c>
      <c r="AJ38" s="220">
        <f>SUM('2025Sep1-2025Sep30CustomUnified'!$AH38:$AI38)</f>
        <v>1</v>
      </c>
      <c r="AK38" s="220">
        <f>'2025Sep1-2025Sep30CustomUnified'!$Z38</f>
        <v>-39</v>
      </c>
      <c r="AL38" s="220">
        <f>'2025Sep1-2025Sep30CustomUnified'!$AA38+'2025Sep1-2025Sep30CustomUnified'!$W38+'2025Sep1-2025Sep30CustomUnified'!$U38+'2025Sep1-2025Sep30CustomUnified'!$S38+'2025Sep1-2025Sep30CustomUnified'!$Q38</f>
        <v>-16.45</v>
      </c>
      <c r="AM38" s="220">
        <f>SUM('2025Sep1-2025Sep30CustomUnified'!$AB38:$AC38)</f>
        <v>0</v>
      </c>
      <c r="AN38" s="220">
        <f>SUM('2025Sep1-2025Sep30CustomUnified'!$AK38:$AM38)</f>
        <v>-55.45</v>
      </c>
      <c r="AO38" s="220">
        <f>'2025Sep1-2025Sep30CustomUnified'!$AG38+'2025Sep1-2025Sep30CustomUnified'!$AN38</f>
        <v>74.54</v>
      </c>
    </row>
    <row r="39" ht="15.75" hidden="1" customHeight="1">
      <c r="A39" s="220" t="s">
        <v>573</v>
      </c>
      <c r="B39" s="220">
        <v>2.4450080321E10</v>
      </c>
      <c r="C39" s="220" t="s">
        <v>443</v>
      </c>
      <c r="D39" s="220" t="s">
        <v>574</v>
      </c>
      <c r="E39" s="220" t="s">
        <v>224</v>
      </c>
      <c r="F39" s="220" t="s">
        <v>495</v>
      </c>
      <c r="G39" s="220">
        <v>1.0</v>
      </c>
      <c r="H39" s="220" t="s">
        <v>446</v>
      </c>
      <c r="I39" s="220" t="s">
        <v>447</v>
      </c>
      <c r="J39" s="220" t="s">
        <v>448</v>
      </c>
      <c r="K39" s="220" t="s">
        <v>575</v>
      </c>
      <c r="L39" s="220" t="s">
        <v>568</v>
      </c>
      <c r="M39" s="220">
        <v>18015.0</v>
      </c>
      <c r="N39" s="220"/>
      <c r="O39" s="220">
        <v>129.99</v>
      </c>
      <c r="P39" s="220">
        <v>7.8</v>
      </c>
      <c r="Q39" s="220">
        <v>0.0</v>
      </c>
      <c r="R39" s="220">
        <v>0.0</v>
      </c>
      <c r="S39" s="220">
        <v>0.0</v>
      </c>
      <c r="T39" s="220">
        <v>0.0</v>
      </c>
      <c r="U39" s="220">
        <v>0.0</v>
      </c>
      <c r="V39" s="220">
        <v>0.0</v>
      </c>
      <c r="W39" s="220">
        <v>0.0</v>
      </c>
      <c r="X39" s="220">
        <v>0.0</v>
      </c>
      <c r="Y39" s="220">
        <v>0.0</v>
      </c>
      <c r="Z39" s="220">
        <v>0.0</v>
      </c>
      <c r="AA39" s="220">
        <v>-16.45</v>
      </c>
      <c r="AB39" s="220">
        <v>0.0</v>
      </c>
      <c r="AC39" s="220">
        <v>0.0</v>
      </c>
      <c r="AD39" s="220">
        <v>121.34</v>
      </c>
      <c r="AE39" s="220">
        <f>IF('2025Sep1-2025Sep30CustomUnified'!$C39="order",'2025Sep1-2025Sep30CustomUnified'!$O39,0)</f>
        <v>129.99</v>
      </c>
      <c r="AF39" s="220">
        <f>IF('2025Sep1-2025Sep30CustomUnified'!$C39="refund",'2025Sep1-2025Sep30CustomUnified'!$O39,0)</f>
        <v>0</v>
      </c>
      <c r="AG39" s="220">
        <f>SUM('2025Sep1-2025Sep30CustomUnified'!$AE39:$AF39)</f>
        <v>129.99</v>
      </c>
      <c r="AH39" s="220">
        <f>IF('2025Sep1-2025Sep30CustomUnified'!$C39="order",'2025Sep1-2025Sep30CustomUnified'!$G39,0)</f>
        <v>1</v>
      </c>
      <c r="AI39" s="220">
        <f>IF('2025Sep1-2025Sep30CustomUnified'!$C39="refund",-'2025Sep1-2025Sep30CustomUnified'!$G39,0)</f>
        <v>0</v>
      </c>
      <c r="AJ39" s="220">
        <f>SUM('2025Sep1-2025Sep30CustomUnified'!$AH39:$AI39)</f>
        <v>1</v>
      </c>
      <c r="AK39" s="220">
        <f>'2025Sep1-2025Sep30CustomUnified'!$Z39</f>
        <v>0</v>
      </c>
      <c r="AL39" s="220">
        <f>'2025Sep1-2025Sep30CustomUnified'!$AA39+'2025Sep1-2025Sep30CustomUnified'!$W39+'2025Sep1-2025Sep30CustomUnified'!$U39+'2025Sep1-2025Sep30CustomUnified'!$S39+'2025Sep1-2025Sep30CustomUnified'!$Q39</f>
        <v>-16.45</v>
      </c>
      <c r="AM39" s="220">
        <f>SUM('2025Sep1-2025Sep30CustomUnified'!$AB39:$AC39)</f>
        <v>0</v>
      </c>
      <c r="AN39" s="220">
        <f>SUM('2025Sep1-2025Sep30CustomUnified'!$AK39:$AM39)</f>
        <v>-16.45</v>
      </c>
      <c r="AO39" s="220">
        <f>'2025Sep1-2025Sep30CustomUnified'!$AG39+'2025Sep1-2025Sep30CustomUnified'!$AN39</f>
        <v>113.54</v>
      </c>
    </row>
    <row r="40" ht="15.75" hidden="1" customHeight="1">
      <c r="A40" s="220" t="s">
        <v>576</v>
      </c>
      <c r="B40" s="220">
        <v>2.4450080321E10</v>
      </c>
      <c r="C40" s="220" t="s">
        <v>443</v>
      </c>
      <c r="D40" s="220" t="s">
        <v>577</v>
      </c>
      <c r="E40" s="220" t="s">
        <v>227</v>
      </c>
      <c r="F40" s="220" t="s">
        <v>547</v>
      </c>
      <c r="G40" s="220">
        <v>1.0</v>
      </c>
      <c r="H40" s="220" t="s">
        <v>446</v>
      </c>
      <c r="I40" s="220" t="s">
        <v>447</v>
      </c>
      <c r="J40" s="220" t="s">
        <v>448</v>
      </c>
      <c r="K40" s="220" t="s">
        <v>578</v>
      </c>
      <c r="L40" s="220" t="s">
        <v>549</v>
      </c>
      <c r="M40" s="220">
        <v>77494.0</v>
      </c>
      <c r="N40" s="220" t="s">
        <v>451</v>
      </c>
      <c r="O40" s="220">
        <v>149.99</v>
      </c>
      <c r="P40" s="220">
        <v>12.37</v>
      </c>
      <c r="Q40" s="220">
        <v>0.0</v>
      </c>
      <c r="R40" s="220">
        <v>0.0</v>
      </c>
      <c r="S40" s="220">
        <v>0.0</v>
      </c>
      <c r="T40" s="220">
        <v>0.0</v>
      </c>
      <c r="U40" s="220">
        <v>0.0</v>
      </c>
      <c r="V40" s="220">
        <v>0.0</v>
      </c>
      <c r="W40" s="220">
        <v>0.0</v>
      </c>
      <c r="X40" s="220">
        <v>0.0</v>
      </c>
      <c r="Y40" s="220">
        <v>-12.37</v>
      </c>
      <c r="Z40" s="220">
        <v>-22.5</v>
      </c>
      <c r="AA40" s="220">
        <v>-24.43</v>
      </c>
      <c r="AB40" s="220">
        <v>0.0</v>
      </c>
      <c r="AC40" s="220">
        <v>0.0</v>
      </c>
      <c r="AD40" s="220">
        <v>103.06</v>
      </c>
      <c r="AE40" s="220">
        <f>IF('2025Sep1-2025Sep30CustomUnified'!$C40="order",'2025Sep1-2025Sep30CustomUnified'!$O40,0)</f>
        <v>149.99</v>
      </c>
      <c r="AF40" s="220">
        <f>IF('2025Sep1-2025Sep30CustomUnified'!$C40="refund",'2025Sep1-2025Sep30CustomUnified'!$O40,0)</f>
        <v>0</v>
      </c>
      <c r="AG40" s="220">
        <f>SUM('2025Sep1-2025Sep30CustomUnified'!$AE40:$AF40)</f>
        <v>149.99</v>
      </c>
      <c r="AH40" s="220">
        <f>IF('2025Sep1-2025Sep30CustomUnified'!$C40="order",'2025Sep1-2025Sep30CustomUnified'!$G40,0)</f>
        <v>1</v>
      </c>
      <c r="AI40" s="220">
        <f>IF('2025Sep1-2025Sep30CustomUnified'!$C40="refund",-'2025Sep1-2025Sep30CustomUnified'!$G40,0)</f>
        <v>0</v>
      </c>
      <c r="AJ40" s="220">
        <f>SUM('2025Sep1-2025Sep30CustomUnified'!$AH40:$AI40)</f>
        <v>1</v>
      </c>
      <c r="AK40" s="220">
        <f>'2025Sep1-2025Sep30CustomUnified'!$Z40</f>
        <v>-22.5</v>
      </c>
      <c r="AL40" s="220">
        <f>'2025Sep1-2025Sep30CustomUnified'!$AA40+'2025Sep1-2025Sep30CustomUnified'!$W40+'2025Sep1-2025Sep30CustomUnified'!$U40+'2025Sep1-2025Sep30CustomUnified'!$S40+'2025Sep1-2025Sep30CustomUnified'!$Q40</f>
        <v>-24.43</v>
      </c>
      <c r="AM40" s="220">
        <f>SUM('2025Sep1-2025Sep30CustomUnified'!$AB40:$AC40)</f>
        <v>0</v>
      </c>
      <c r="AN40" s="220">
        <f>SUM('2025Sep1-2025Sep30CustomUnified'!$AK40:$AM40)</f>
        <v>-46.93</v>
      </c>
      <c r="AO40" s="220">
        <f>'2025Sep1-2025Sep30CustomUnified'!$AG40+'2025Sep1-2025Sep30CustomUnified'!$AN40</f>
        <v>103.06</v>
      </c>
    </row>
    <row r="41" ht="15.75" hidden="1" customHeight="1">
      <c r="A41" s="220" t="s">
        <v>579</v>
      </c>
      <c r="B41" s="220">
        <v>2.4450080321E10</v>
      </c>
      <c r="C41" s="220" t="s">
        <v>443</v>
      </c>
      <c r="D41" s="220" t="s">
        <v>580</v>
      </c>
      <c r="E41" s="220" t="s">
        <v>227</v>
      </c>
      <c r="F41" s="220" t="s">
        <v>547</v>
      </c>
      <c r="G41" s="220">
        <v>1.0</v>
      </c>
      <c r="H41" s="220" t="s">
        <v>446</v>
      </c>
      <c r="I41" s="220" t="s">
        <v>447</v>
      </c>
      <c r="J41" s="220" t="s">
        <v>448</v>
      </c>
      <c r="K41" s="220" t="s">
        <v>581</v>
      </c>
      <c r="L41" s="220" t="s">
        <v>549</v>
      </c>
      <c r="M41" s="220">
        <v>77389.0</v>
      </c>
      <c r="N41" s="220" t="s">
        <v>451</v>
      </c>
      <c r="O41" s="220">
        <v>149.99</v>
      </c>
      <c r="P41" s="220">
        <v>11.76</v>
      </c>
      <c r="Q41" s="220">
        <v>0.0</v>
      </c>
      <c r="R41" s="220">
        <v>0.0</v>
      </c>
      <c r="S41" s="220">
        <v>0.0</v>
      </c>
      <c r="T41" s="220">
        <v>0.0</v>
      </c>
      <c r="U41" s="220">
        <v>0.0</v>
      </c>
      <c r="V41" s="220">
        <v>0.0</v>
      </c>
      <c r="W41" s="220">
        <v>-7.5</v>
      </c>
      <c r="X41" s="220">
        <v>0.0</v>
      </c>
      <c r="Y41" s="220">
        <v>-11.76</v>
      </c>
      <c r="Z41" s="220">
        <v>-21.37</v>
      </c>
      <c r="AA41" s="220">
        <v>-24.43</v>
      </c>
      <c r="AB41" s="220">
        <v>0.0</v>
      </c>
      <c r="AC41" s="220">
        <v>0.0</v>
      </c>
      <c r="AD41" s="220">
        <v>96.69</v>
      </c>
      <c r="AE41" s="220">
        <f>IF('2025Sep1-2025Sep30CustomUnified'!$C41="order",'2025Sep1-2025Sep30CustomUnified'!$O41,0)</f>
        <v>149.99</v>
      </c>
      <c r="AF41" s="220">
        <f>IF('2025Sep1-2025Sep30CustomUnified'!$C41="refund",'2025Sep1-2025Sep30CustomUnified'!$O41,0)</f>
        <v>0</v>
      </c>
      <c r="AG41" s="220">
        <f>SUM('2025Sep1-2025Sep30CustomUnified'!$AE41:$AF41)</f>
        <v>149.99</v>
      </c>
      <c r="AH41" s="220">
        <f>IF('2025Sep1-2025Sep30CustomUnified'!$C41="order",'2025Sep1-2025Sep30CustomUnified'!$G41,0)</f>
        <v>1</v>
      </c>
      <c r="AI41" s="220">
        <f>IF('2025Sep1-2025Sep30CustomUnified'!$C41="refund",-'2025Sep1-2025Sep30CustomUnified'!$G41,0)</f>
        <v>0</v>
      </c>
      <c r="AJ41" s="220">
        <f>SUM('2025Sep1-2025Sep30CustomUnified'!$AH41:$AI41)</f>
        <v>1</v>
      </c>
      <c r="AK41" s="220">
        <f>'2025Sep1-2025Sep30CustomUnified'!$Z41</f>
        <v>-21.37</v>
      </c>
      <c r="AL41" s="220">
        <f>'2025Sep1-2025Sep30CustomUnified'!$AA41+'2025Sep1-2025Sep30CustomUnified'!$W41+'2025Sep1-2025Sep30CustomUnified'!$U41+'2025Sep1-2025Sep30CustomUnified'!$S41+'2025Sep1-2025Sep30CustomUnified'!$Q41</f>
        <v>-31.93</v>
      </c>
      <c r="AM41" s="220">
        <f>SUM('2025Sep1-2025Sep30CustomUnified'!$AB41:$AC41)</f>
        <v>0</v>
      </c>
      <c r="AN41" s="220">
        <f>SUM('2025Sep1-2025Sep30CustomUnified'!$AK41:$AM41)</f>
        <v>-53.3</v>
      </c>
      <c r="AO41" s="220">
        <f>'2025Sep1-2025Sep30CustomUnified'!$AG41+'2025Sep1-2025Sep30CustomUnified'!$AN41</f>
        <v>96.69</v>
      </c>
    </row>
    <row r="42" ht="15.75" hidden="1" customHeight="1">
      <c r="A42" s="220" t="s">
        <v>582</v>
      </c>
      <c r="B42" s="220">
        <v>2.4450080321E10</v>
      </c>
      <c r="C42" s="220" t="s">
        <v>443</v>
      </c>
      <c r="D42" s="220" t="s">
        <v>583</v>
      </c>
      <c r="E42" s="220" t="s">
        <v>229</v>
      </c>
      <c r="F42" s="220" t="s">
        <v>501</v>
      </c>
      <c r="G42" s="220">
        <v>1.0</v>
      </c>
      <c r="H42" s="220" t="s">
        <v>446</v>
      </c>
      <c r="I42" s="220" t="s">
        <v>447</v>
      </c>
      <c r="J42" s="220" t="s">
        <v>448</v>
      </c>
      <c r="K42" s="220" t="s">
        <v>548</v>
      </c>
      <c r="L42" s="220" t="s">
        <v>549</v>
      </c>
      <c r="M42" s="220">
        <v>78702.0</v>
      </c>
      <c r="N42" s="220" t="s">
        <v>451</v>
      </c>
      <c r="O42" s="220">
        <v>94.99</v>
      </c>
      <c r="P42" s="220">
        <v>7.84</v>
      </c>
      <c r="Q42" s="220">
        <v>0.0</v>
      </c>
      <c r="R42" s="220">
        <v>0.0</v>
      </c>
      <c r="S42" s="220">
        <v>0.0</v>
      </c>
      <c r="T42" s="220">
        <v>0.0</v>
      </c>
      <c r="U42" s="220">
        <v>0.0</v>
      </c>
      <c r="V42" s="220">
        <v>0.0</v>
      </c>
      <c r="W42" s="220">
        <v>0.0</v>
      </c>
      <c r="X42" s="220">
        <v>0.0</v>
      </c>
      <c r="Y42" s="220">
        <v>-7.84</v>
      </c>
      <c r="Z42" s="220">
        <v>-14.25</v>
      </c>
      <c r="AA42" s="220">
        <v>-13.03</v>
      </c>
      <c r="AB42" s="220">
        <v>0.0</v>
      </c>
      <c r="AC42" s="220">
        <v>0.0</v>
      </c>
      <c r="AD42" s="220">
        <v>67.71</v>
      </c>
      <c r="AE42" s="220">
        <f>IF('2025Sep1-2025Sep30CustomUnified'!$C42="order",'2025Sep1-2025Sep30CustomUnified'!$O42,0)</f>
        <v>94.99</v>
      </c>
      <c r="AF42" s="220">
        <f>IF('2025Sep1-2025Sep30CustomUnified'!$C42="refund",'2025Sep1-2025Sep30CustomUnified'!$O42,0)</f>
        <v>0</v>
      </c>
      <c r="AG42" s="220">
        <f>SUM('2025Sep1-2025Sep30CustomUnified'!$AE42:$AF42)</f>
        <v>94.99</v>
      </c>
      <c r="AH42" s="220">
        <f>IF('2025Sep1-2025Sep30CustomUnified'!$C42="order",'2025Sep1-2025Sep30CustomUnified'!$G42,0)</f>
        <v>1</v>
      </c>
      <c r="AI42" s="220">
        <f>IF('2025Sep1-2025Sep30CustomUnified'!$C42="refund",-'2025Sep1-2025Sep30CustomUnified'!$G42,0)</f>
        <v>0</v>
      </c>
      <c r="AJ42" s="220">
        <f>SUM('2025Sep1-2025Sep30CustomUnified'!$AH42:$AI42)</f>
        <v>1</v>
      </c>
      <c r="AK42" s="220">
        <f>'2025Sep1-2025Sep30CustomUnified'!$Z42</f>
        <v>-14.25</v>
      </c>
      <c r="AL42" s="220">
        <f>'2025Sep1-2025Sep30CustomUnified'!$AA42+'2025Sep1-2025Sep30CustomUnified'!$W42+'2025Sep1-2025Sep30CustomUnified'!$U42+'2025Sep1-2025Sep30CustomUnified'!$S42+'2025Sep1-2025Sep30CustomUnified'!$Q42</f>
        <v>-13.03</v>
      </c>
      <c r="AM42" s="220">
        <f>SUM('2025Sep1-2025Sep30CustomUnified'!$AB42:$AC42)</f>
        <v>0</v>
      </c>
      <c r="AN42" s="220">
        <f>SUM('2025Sep1-2025Sep30CustomUnified'!$AK42:$AM42)</f>
        <v>-27.28</v>
      </c>
      <c r="AO42" s="220">
        <f>'2025Sep1-2025Sep30CustomUnified'!$AG42+'2025Sep1-2025Sep30CustomUnified'!$AN42</f>
        <v>67.71</v>
      </c>
    </row>
    <row r="43" ht="15.75" hidden="1" customHeight="1">
      <c r="A43" s="220" t="s">
        <v>584</v>
      </c>
      <c r="B43" s="220">
        <v>2.4450080321E10</v>
      </c>
      <c r="C43" s="220" t="s">
        <v>443</v>
      </c>
      <c r="D43" s="220" t="s">
        <v>585</v>
      </c>
      <c r="E43" s="220" t="s">
        <v>222</v>
      </c>
      <c r="F43" s="220" t="s">
        <v>445</v>
      </c>
      <c r="G43" s="220">
        <v>1.0</v>
      </c>
      <c r="H43" s="220" t="s">
        <v>446</v>
      </c>
      <c r="I43" s="220" t="s">
        <v>447</v>
      </c>
      <c r="J43" s="220" t="s">
        <v>448</v>
      </c>
      <c r="K43" s="220" t="s">
        <v>586</v>
      </c>
      <c r="L43" s="220" t="s">
        <v>475</v>
      </c>
      <c r="M43" s="220">
        <v>32206.0</v>
      </c>
      <c r="N43" s="220" t="s">
        <v>451</v>
      </c>
      <c r="O43" s="220">
        <v>129.89</v>
      </c>
      <c r="P43" s="220">
        <v>9.74</v>
      </c>
      <c r="Q43" s="220">
        <v>0.0</v>
      </c>
      <c r="R43" s="220">
        <v>0.0</v>
      </c>
      <c r="S43" s="220">
        <v>0.0</v>
      </c>
      <c r="T43" s="220">
        <v>0.0</v>
      </c>
      <c r="U43" s="220">
        <v>0.0</v>
      </c>
      <c r="V43" s="220">
        <v>0.0</v>
      </c>
      <c r="W43" s="220">
        <v>0.0</v>
      </c>
      <c r="X43" s="220">
        <v>0.0</v>
      </c>
      <c r="Y43" s="220">
        <v>-9.74</v>
      </c>
      <c r="Z43" s="220">
        <v>-19.48</v>
      </c>
      <c r="AA43" s="220">
        <v>-16.45</v>
      </c>
      <c r="AB43" s="220">
        <v>0.0</v>
      </c>
      <c r="AC43" s="220">
        <v>0.0</v>
      </c>
      <c r="AD43" s="220">
        <v>93.96</v>
      </c>
      <c r="AE43" s="220">
        <f>IF('2025Sep1-2025Sep30CustomUnified'!$C43="order",'2025Sep1-2025Sep30CustomUnified'!$O43,0)</f>
        <v>129.89</v>
      </c>
      <c r="AF43" s="220">
        <f>IF('2025Sep1-2025Sep30CustomUnified'!$C43="refund",'2025Sep1-2025Sep30CustomUnified'!$O43,0)</f>
        <v>0</v>
      </c>
      <c r="AG43" s="220">
        <f>SUM('2025Sep1-2025Sep30CustomUnified'!$AE43:$AF43)</f>
        <v>129.89</v>
      </c>
      <c r="AH43" s="220">
        <f>IF('2025Sep1-2025Sep30CustomUnified'!$C43="order",'2025Sep1-2025Sep30CustomUnified'!$G43,0)</f>
        <v>1</v>
      </c>
      <c r="AI43" s="220">
        <f>IF('2025Sep1-2025Sep30CustomUnified'!$C43="refund",-'2025Sep1-2025Sep30CustomUnified'!$G43,0)</f>
        <v>0</v>
      </c>
      <c r="AJ43" s="220">
        <f>SUM('2025Sep1-2025Sep30CustomUnified'!$AH43:$AI43)</f>
        <v>1</v>
      </c>
      <c r="AK43" s="220">
        <f>'2025Sep1-2025Sep30CustomUnified'!$Z43</f>
        <v>-19.48</v>
      </c>
      <c r="AL43" s="220">
        <f>'2025Sep1-2025Sep30CustomUnified'!$AA43+'2025Sep1-2025Sep30CustomUnified'!$W43+'2025Sep1-2025Sep30CustomUnified'!$U43+'2025Sep1-2025Sep30CustomUnified'!$S43+'2025Sep1-2025Sep30CustomUnified'!$Q43</f>
        <v>-16.45</v>
      </c>
      <c r="AM43" s="220">
        <f>SUM('2025Sep1-2025Sep30CustomUnified'!$AB43:$AC43)</f>
        <v>0</v>
      </c>
      <c r="AN43" s="220">
        <f>SUM('2025Sep1-2025Sep30CustomUnified'!$AK43:$AM43)</f>
        <v>-35.93</v>
      </c>
      <c r="AO43" s="220">
        <f>'2025Sep1-2025Sep30CustomUnified'!$AG43+'2025Sep1-2025Sep30CustomUnified'!$AN43</f>
        <v>93.96</v>
      </c>
    </row>
    <row r="44" ht="15.75" hidden="1" customHeight="1">
      <c r="A44" s="220" t="s">
        <v>587</v>
      </c>
      <c r="B44" s="220">
        <v>2.4450080321E10</v>
      </c>
      <c r="C44" s="220" t="s">
        <v>443</v>
      </c>
      <c r="D44" s="220" t="s">
        <v>588</v>
      </c>
      <c r="E44" s="220" t="s">
        <v>222</v>
      </c>
      <c r="F44" s="220" t="s">
        <v>445</v>
      </c>
      <c r="G44" s="220">
        <v>1.0</v>
      </c>
      <c r="H44" s="220" t="s">
        <v>446</v>
      </c>
      <c r="I44" s="220" t="s">
        <v>447</v>
      </c>
      <c r="J44" s="220" t="s">
        <v>448</v>
      </c>
      <c r="K44" s="220" t="s">
        <v>589</v>
      </c>
      <c r="L44" s="220" t="s">
        <v>455</v>
      </c>
      <c r="M44" s="220">
        <v>91740.0</v>
      </c>
      <c r="N44" s="220" t="s">
        <v>451</v>
      </c>
      <c r="O44" s="220">
        <v>129.99</v>
      </c>
      <c r="P44" s="220">
        <v>13.28</v>
      </c>
      <c r="Q44" s="220">
        <v>0.0</v>
      </c>
      <c r="R44" s="220">
        <v>0.0</v>
      </c>
      <c r="S44" s="220">
        <v>0.0</v>
      </c>
      <c r="T44" s="220">
        <v>0.0</v>
      </c>
      <c r="U44" s="220">
        <v>0.0</v>
      </c>
      <c r="V44" s="220">
        <v>0.0</v>
      </c>
      <c r="W44" s="220">
        <v>-6.5</v>
      </c>
      <c r="X44" s="220">
        <v>0.0</v>
      </c>
      <c r="Y44" s="220">
        <v>-13.28</v>
      </c>
      <c r="Z44" s="220">
        <v>-18.52</v>
      </c>
      <c r="AA44" s="220">
        <v>-16.45</v>
      </c>
      <c r="AB44" s="220">
        <v>0.0</v>
      </c>
      <c r="AC44" s="220">
        <v>0.0</v>
      </c>
      <c r="AD44" s="220">
        <v>88.52</v>
      </c>
      <c r="AE44" s="220">
        <f>IF('2025Sep1-2025Sep30CustomUnified'!$C44="order",'2025Sep1-2025Sep30CustomUnified'!$O44,0)</f>
        <v>129.99</v>
      </c>
      <c r="AF44" s="220">
        <f>IF('2025Sep1-2025Sep30CustomUnified'!$C44="refund",'2025Sep1-2025Sep30CustomUnified'!$O44,0)</f>
        <v>0</v>
      </c>
      <c r="AG44" s="220">
        <f>SUM('2025Sep1-2025Sep30CustomUnified'!$AE44:$AF44)</f>
        <v>129.99</v>
      </c>
      <c r="AH44" s="220">
        <f>IF('2025Sep1-2025Sep30CustomUnified'!$C44="order",'2025Sep1-2025Sep30CustomUnified'!$G44,0)</f>
        <v>1</v>
      </c>
      <c r="AI44" s="220">
        <f>IF('2025Sep1-2025Sep30CustomUnified'!$C44="refund",-'2025Sep1-2025Sep30CustomUnified'!$G44,0)</f>
        <v>0</v>
      </c>
      <c r="AJ44" s="220">
        <f>SUM('2025Sep1-2025Sep30CustomUnified'!$AH44:$AI44)</f>
        <v>1</v>
      </c>
      <c r="AK44" s="220">
        <f>'2025Sep1-2025Sep30CustomUnified'!$Z44</f>
        <v>-18.52</v>
      </c>
      <c r="AL44" s="220">
        <f>'2025Sep1-2025Sep30CustomUnified'!$AA44+'2025Sep1-2025Sep30CustomUnified'!$W44+'2025Sep1-2025Sep30CustomUnified'!$U44+'2025Sep1-2025Sep30CustomUnified'!$S44+'2025Sep1-2025Sep30CustomUnified'!$Q44</f>
        <v>-22.95</v>
      </c>
      <c r="AM44" s="220">
        <f>SUM('2025Sep1-2025Sep30CustomUnified'!$AB44:$AC44)</f>
        <v>0</v>
      </c>
      <c r="AN44" s="220">
        <f>SUM('2025Sep1-2025Sep30CustomUnified'!$AK44:$AM44)</f>
        <v>-41.47</v>
      </c>
      <c r="AO44" s="220">
        <f>'2025Sep1-2025Sep30CustomUnified'!$AG44+'2025Sep1-2025Sep30CustomUnified'!$AN44</f>
        <v>88.52</v>
      </c>
    </row>
    <row r="45" ht="15.75" hidden="1" customHeight="1">
      <c r="A45" s="220" t="s">
        <v>590</v>
      </c>
      <c r="B45" s="220">
        <v>2.4450080321E10</v>
      </c>
      <c r="C45" s="220" t="s">
        <v>466</v>
      </c>
      <c r="D45" s="220" t="s">
        <v>588</v>
      </c>
      <c r="E45" s="220" t="s">
        <v>222</v>
      </c>
      <c r="F45" s="220" t="s">
        <v>445</v>
      </c>
      <c r="G45" s="220">
        <v>1.0</v>
      </c>
      <c r="H45" s="220" t="s">
        <v>446</v>
      </c>
      <c r="I45" s="220" t="s">
        <v>447</v>
      </c>
      <c r="J45" s="220" t="s">
        <v>448</v>
      </c>
      <c r="K45" s="220" t="s">
        <v>589</v>
      </c>
      <c r="L45" s="220" t="s">
        <v>455</v>
      </c>
      <c r="M45" s="220">
        <v>91740.0</v>
      </c>
      <c r="N45" s="220" t="s">
        <v>451</v>
      </c>
      <c r="O45" s="220">
        <v>-129.99</v>
      </c>
      <c r="P45" s="220">
        <v>-13.28</v>
      </c>
      <c r="Q45" s="220">
        <v>0.0</v>
      </c>
      <c r="R45" s="220">
        <v>0.0</v>
      </c>
      <c r="S45" s="220">
        <v>0.0</v>
      </c>
      <c r="T45" s="220">
        <v>0.0</v>
      </c>
      <c r="U45" s="220">
        <v>0.0</v>
      </c>
      <c r="V45" s="220">
        <v>0.0</v>
      </c>
      <c r="W45" s="220">
        <v>6.5</v>
      </c>
      <c r="X45" s="220">
        <v>0.0</v>
      </c>
      <c r="Y45" s="220">
        <v>13.28</v>
      </c>
      <c r="Z45" s="220">
        <v>14.82</v>
      </c>
      <c r="AA45" s="220">
        <v>0.0</v>
      </c>
      <c r="AB45" s="220">
        <v>0.0</v>
      </c>
      <c r="AC45" s="220">
        <v>0.0</v>
      </c>
      <c r="AD45" s="220">
        <v>-108.67</v>
      </c>
      <c r="AE45" s="220">
        <f>IF('2025Sep1-2025Sep30CustomUnified'!$C45="order",'2025Sep1-2025Sep30CustomUnified'!$O45,0)</f>
        <v>0</v>
      </c>
      <c r="AF45" s="220">
        <f>IF('2025Sep1-2025Sep30CustomUnified'!$C45="refund",'2025Sep1-2025Sep30CustomUnified'!$O45,0)</f>
        <v>-129.99</v>
      </c>
      <c r="AG45" s="220">
        <f>SUM('2025Sep1-2025Sep30CustomUnified'!$AE45:$AF45)</f>
        <v>-129.99</v>
      </c>
      <c r="AH45" s="220">
        <f>IF('2025Sep1-2025Sep30CustomUnified'!$C45="order",'2025Sep1-2025Sep30CustomUnified'!$G45,0)</f>
        <v>0</v>
      </c>
      <c r="AI45" s="220">
        <f>IF('2025Sep1-2025Sep30CustomUnified'!$C45="refund",-'2025Sep1-2025Sep30CustomUnified'!$G45,0)</f>
        <v>-1</v>
      </c>
      <c r="AJ45" s="220">
        <f>SUM('2025Sep1-2025Sep30CustomUnified'!$AH45:$AI45)</f>
        <v>-1</v>
      </c>
      <c r="AK45" s="220">
        <f>'2025Sep1-2025Sep30CustomUnified'!$Z45</f>
        <v>14.82</v>
      </c>
      <c r="AL45" s="220">
        <f>'2025Sep1-2025Sep30CustomUnified'!$AA45+'2025Sep1-2025Sep30CustomUnified'!$W45+'2025Sep1-2025Sep30CustomUnified'!$U45+'2025Sep1-2025Sep30CustomUnified'!$S45+'2025Sep1-2025Sep30CustomUnified'!$Q45</f>
        <v>6.5</v>
      </c>
      <c r="AM45" s="220">
        <f>SUM('2025Sep1-2025Sep30CustomUnified'!$AB45:$AC45)</f>
        <v>0</v>
      </c>
      <c r="AN45" s="220">
        <f>SUM('2025Sep1-2025Sep30CustomUnified'!$AK45:$AM45)</f>
        <v>21.32</v>
      </c>
      <c r="AO45" s="220">
        <f>'2025Sep1-2025Sep30CustomUnified'!$AG45+'2025Sep1-2025Sep30CustomUnified'!$AN45</f>
        <v>-108.67</v>
      </c>
    </row>
    <row r="46" ht="15.75" hidden="1" customHeight="1">
      <c r="A46" s="220" t="s">
        <v>591</v>
      </c>
      <c r="B46" s="220">
        <v>2.4450080321E10</v>
      </c>
      <c r="C46" s="220" t="s">
        <v>443</v>
      </c>
      <c r="D46" s="220" t="s">
        <v>592</v>
      </c>
      <c r="E46" s="220" t="s">
        <v>228</v>
      </c>
      <c r="F46" s="220" t="s">
        <v>458</v>
      </c>
      <c r="G46" s="220">
        <v>1.0</v>
      </c>
      <c r="H46" s="220" t="s">
        <v>446</v>
      </c>
      <c r="I46" s="220" t="s">
        <v>447</v>
      </c>
      <c r="J46" s="220" t="s">
        <v>448</v>
      </c>
      <c r="K46" s="220" t="s">
        <v>593</v>
      </c>
      <c r="L46" s="220" t="s">
        <v>455</v>
      </c>
      <c r="M46" s="220">
        <v>91367.0</v>
      </c>
      <c r="N46" s="220" t="s">
        <v>451</v>
      </c>
      <c r="O46" s="220">
        <v>229.89</v>
      </c>
      <c r="P46" s="220">
        <v>21.29</v>
      </c>
      <c r="Q46" s="220">
        <v>0.0</v>
      </c>
      <c r="R46" s="220">
        <v>0.0</v>
      </c>
      <c r="S46" s="220">
        <v>0.0</v>
      </c>
      <c r="T46" s="220">
        <v>0.0</v>
      </c>
      <c r="U46" s="220">
        <v>0.0</v>
      </c>
      <c r="V46" s="220">
        <v>0.0</v>
      </c>
      <c r="W46" s="220">
        <v>-11.49</v>
      </c>
      <c r="X46" s="220">
        <v>0.0</v>
      </c>
      <c r="Y46" s="220">
        <v>-21.29</v>
      </c>
      <c r="Z46" s="220">
        <v>-31.84</v>
      </c>
      <c r="AA46" s="220">
        <v>-21.39</v>
      </c>
      <c r="AB46" s="220">
        <v>0.0</v>
      </c>
      <c r="AC46" s="220">
        <v>0.0</v>
      </c>
      <c r="AD46" s="220">
        <v>165.17</v>
      </c>
      <c r="AE46" s="220">
        <f>IF('2025Sep1-2025Sep30CustomUnified'!$C46="order",'2025Sep1-2025Sep30CustomUnified'!$O46,0)</f>
        <v>229.89</v>
      </c>
      <c r="AF46" s="220">
        <f>IF('2025Sep1-2025Sep30CustomUnified'!$C46="refund",'2025Sep1-2025Sep30CustomUnified'!$O46,0)</f>
        <v>0</v>
      </c>
      <c r="AG46" s="220">
        <f>SUM('2025Sep1-2025Sep30CustomUnified'!$AE46:$AF46)</f>
        <v>229.89</v>
      </c>
      <c r="AH46" s="220">
        <f>IF('2025Sep1-2025Sep30CustomUnified'!$C46="order",'2025Sep1-2025Sep30CustomUnified'!$G46,0)</f>
        <v>1</v>
      </c>
      <c r="AI46" s="220">
        <f>IF('2025Sep1-2025Sep30CustomUnified'!$C46="refund",-'2025Sep1-2025Sep30CustomUnified'!$G46,0)</f>
        <v>0</v>
      </c>
      <c r="AJ46" s="220">
        <f>SUM('2025Sep1-2025Sep30CustomUnified'!$AH46:$AI46)</f>
        <v>1</v>
      </c>
      <c r="AK46" s="220">
        <f>'2025Sep1-2025Sep30CustomUnified'!$Z46</f>
        <v>-31.84</v>
      </c>
      <c r="AL46" s="220">
        <f>'2025Sep1-2025Sep30CustomUnified'!$AA46+'2025Sep1-2025Sep30CustomUnified'!$W46+'2025Sep1-2025Sep30CustomUnified'!$U46+'2025Sep1-2025Sep30CustomUnified'!$S46+'2025Sep1-2025Sep30CustomUnified'!$Q46</f>
        <v>-32.88</v>
      </c>
      <c r="AM46" s="220">
        <f>SUM('2025Sep1-2025Sep30CustomUnified'!$AB46:$AC46)</f>
        <v>0</v>
      </c>
      <c r="AN46" s="220">
        <f>SUM('2025Sep1-2025Sep30CustomUnified'!$AK46:$AM46)</f>
        <v>-64.72</v>
      </c>
      <c r="AO46" s="220">
        <f>'2025Sep1-2025Sep30CustomUnified'!$AG46+'2025Sep1-2025Sep30CustomUnified'!$AN46</f>
        <v>165.17</v>
      </c>
    </row>
    <row r="47" ht="15.75" hidden="1" customHeight="1">
      <c r="A47" s="220" t="s">
        <v>594</v>
      </c>
      <c r="B47" s="220">
        <v>2.4450080321E10</v>
      </c>
      <c r="C47" s="220" t="s">
        <v>443</v>
      </c>
      <c r="D47" s="220" t="s">
        <v>595</v>
      </c>
      <c r="E47" s="220" t="s">
        <v>227</v>
      </c>
      <c r="F47" s="220" t="s">
        <v>547</v>
      </c>
      <c r="G47" s="220">
        <v>1.0</v>
      </c>
      <c r="H47" s="220" t="s">
        <v>446</v>
      </c>
      <c r="I47" s="220" t="s">
        <v>447</v>
      </c>
      <c r="J47" s="220" t="s">
        <v>448</v>
      </c>
      <c r="K47" s="220" t="s">
        <v>596</v>
      </c>
      <c r="L47" s="220" t="s">
        <v>597</v>
      </c>
      <c r="M47" s="220">
        <v>52333.0</v>
      </c>
      <c r="N47" s="220" t="s">
        <v>451</v>
      </c>
      <c r="O47" s="220">
        <v>149.99</v>
      </c>
      <c r="P47" s="220">
        <v>9.97</v>
      </c>
      <c r="Q47" s="220">
        <v>0.0</v>
      </c>
      <c r="R47" s="220">
        <v>0.0</v>
      </c>
      <c r="S47" s="220">
        <v>0.0</v>
      </c>
      <c r="T47" s="220">
        <v>0.0</v>
      </c>
      <c r="U47" s="220">
        <v>0.0</v>
      </c>
      <c r="V47" s="220">
        <v>0.0</v>
      </c>
      <c r="W47" s="220">
        <v>-7.5</v>
      </c>
      <c r="X47" s="220">
        <v>0.0</v>
      </c>
      <c r="Y47" s="220">
        <v>-9.97</v>
      </c>
      <c r="Z47" s="220">
        <v>-21.37</v>
      </c>
      <c r="AA47" s="220">
        <v>-24.43</v>
      </c>
      <c r="AB47" s="220">
        <v>0.0</v>
      </c>
      <c r="AC47" s="220">
        <v>0.0</v>
      </c>
      <c r="AD47" s="220">
        <v>96.69</v>
      </c>
      <c r="AE47" s="220">
        <f>IF('2025Sep1-2025Sep30CustomUnified'!$C47="order",'2025Sep1-2025Sep30CustomUnified'!$O47,0)</f>
        <v>149.99</v>
      </c>
      <c r="AF47" s="220">
        <f>IF('2025Sep1-2025Sep30CustomUnified'!$C47="refund",'2025Sep1-2025Sep30CustomUnified'!$O47,0)</f>
        <v>0</v>
      </c>
      <c r="AG47" s="220">
        <f>SUM('2025Sep1-2025Sep30CustomUnified'!$AE47:$AF47)</f>
        <v>149.99</v>
      </c>
      <c r="AH47" s="220">
        <f>IF('2025Sep1-2025Sep30CustomUnified'!$C47="order",'2025Sep1-2025Sep30CustomUnified'!$G47,0)</f>
        <v>1</v>
      </c>
      <c r="AI47" s="220">
        <f>IF('2025Sep1-2025Sep30CustomUnified'!$C47="refund",-'2025Sep1-2025Sep30CustomUnified'!$G47,0)</f>
        <v>0</v>
      </c>
      <c r="AJ47" s="220">
        <f>SUM('2025Sep1-2025Sep30CustomUnified'!$AH47:$AI47)</f>
        <v>1</v>
      </c>
      <c r="AK47" s="220">
        <f>'2025Sep1-2025Sep30CustomUnified'!$Z47</f>
        <v>-21.37</v>
      </c>
      <c r="AL47" s="220">
        <f>'2025Sep1-2025Sep30CustomUnified'!$AA47+'2025Sep1-2025Sep30CustomUnified'!$W47+'2025Sep1-2025Sep30CustomUnified'!$U47+'2025Sep1-2025Sep30CustomUnified'!$S47+'2025Sep1-2025Sep30CustomUnified'!$Q47</f>
        <v>-31.93</v>
      </c>
      <c r="AM47" s="220">
        <f>SUM('2025Sep1-2025Sep30CustomUnified'!$AB47:$AC47)</f>
        <v>0</v>
      </c>
      <c r="AN47" s="220">
        <f>SUM('2025Sep1-2025Sep30CustomUnified'!$AK47:$AM47)</f>
        <v>-53.3</v>
      </c>
      <c r="AO47" s="220">
        <f>'2025Sep1-2025Sep30CustomUnified'!$AG47+'2025Sep1-2025Sep30CustomUnified'!$AN47</f>
        <v>96.69</v>
      </c>
    </row>
    <row r="48" ht="15.75" hidden="1" customHeight="1">
      <c r="A48" s="220" t="s">
        <v>598</v>
      </c>
      <c r="B48" s="220">
        <v>2.4450080321E10</v>
      </c>
      <c r="C48" s="220" t="s">
        <v>443</v>
      </c>
      <c r="D48" s="220" t="s">
        <v>599</v>
      </c>
      <c r="E48" s="220" t="s">
        <v>224</v>
      </c>
      <c r="F48" s="220" t="s">
        <v>495</v>
      </c>
      <c r="G48" s="220">
        <v>1.0</v>
      </c>
      <c r="H48" s="220" t="s">
        <v>446</v>
      </c>
      <c r="I48" s="220" t="s">
        <v>447</v>
      </c>
      <c r="J48" s="220" t="s">
        <v>448</v>
      </c>
      <c r="K48" s="220" t="s">
        <v>600</v>
      </c>
      <c r="L48" s="220" t="s">
        <v>601</v>
      </c>
      <c r="M48" s="220">
        <v>44451.0</v>
      </c>
      <c r="N48" s="220" t="s">
        <v>451</v>
      </c>
      <c r="O48" s="220">
        <v>110.49</v>
      </c>
      <c r="P48" s="220">
        <v>8.29</v>
      </c>
      <c r="Q48" s="220">
        <v>0.0</v>
      </c>
      <c r="R48" s="220">
        <v>0.0</v>
      </c>
      <c r="S48" s="220">
        <v>0.0</v>
      </c>
      <c r="T48" s="220">
        <v>0.0</v>
      </c>
      <c r="U48" s="220">
        <v>0.0</v>
      </c>
      <c r="V48" s="220">
        <v>0.0</v>
      </c>
      <c r="W48" s="220">
        <v>0.0</v>
      </c>
      <c r="X48" s="220">
        <v>0.0</v>
      </c>
      <c r="Y48" s="220">
        <v>-8.29</v>
      </c>
      <c r="Z48" s="220">
        <v>-16.57</v>
      </c>
      <c r="AA48" s="220">
        <v>-16.45</v>
      </c>
      <c r="AB48" s="220">
        <v>0.0</v>
      </c>
      <c r="AC48" s="220">
        <v>0.0</v>
      </c>
      <c r="AD48" s="220">
        <v>77.47</v>
      </c>
      <c r="AE48" s="220">
        <f>IF('2025Sep1-2025Sep30CustomUnified'!$C48="order",'2025Sep1-2025Sep30CustomUnified'!$O48,0)</f>
        <v>110.49</v>
      </c>
      <c r="AF48" s="220">
        <f>IF('2025Sep1-2025Sep30CustomUnified'!$C48="refund",'2025Sep1-2025Sep30CustomUnified'!$O48,0)</f>
        <v>0</v>
      </c>
      <c r="AG48" s="220">
        <f>SUM('2025Sep1-2025Sep30CustomUnified'!$AE48:$AF48)</f>
        <v>110.49</v>
      </c>
      <c r="AH48" s="220">
        <f>IF('2025Sep1-2025Sep30CustomUnified'!$C48="order",'2025Sep1-2025Sep30CustomUnified'!$G48,0)</f>
        <v>1</v>
      </c>
      <c r="AI48" s="220">
        <f>IF('2025Sep1-2025Sep30CustomUnified'!$C48="refund",-'2025Sep1-2025Sep30CustomUnified'!$G48,0)</f>
        <v>0</v>
      </c>
      <c r="AJ48" s="220">
        <f>SUM('2025Sep1-2025Sep30CustomUnified'!$AH48:$AI48)</f>
        <v>1</v>
      </c>
      <c r="AK48" s="220">
        <f>'2025Sep1-2025Sep30CustomUnified'!$Z48</f>
        <v>-16.57</v>
      </c>
      <c r="AL48" s="220">
        <f>'2025Sep1-2025Sep30CustomUnified'!$AA48+'2025Sep1-2025Sep30CustomUnified'!$W48+'2025Sep1-2025Sep30CustomUnified'!$U48+'2025Sep1-2025Sep30CustomUnified'!$S48+'2025Sep1-2025Sep30CustomUnified'!$Q48</f>
        <v>-16.45</v>
      </c>
      <c r="AM48" s="220">
        <f>SUM('2025Sep1-2025Sep30CustomUnified'!$AB48:$AC48)</f>
        <v>0</v>
      </c>
      <c r="AN48" s="220">
        <f>SUM('2025Sep1-2025Sep30CustomUnified'!$AK48:$AM48)</f>
        <v>-33.02</v>
      </c>
      <c r="AO48" s="220">
        <f>'2025Sep1-2025Sep30CustomUnified'!$AG48+'2025Sep1-2025Sep30CustomUnified'!$AN48</f>
        <v>77.47</v>
      </c>
    </row>
    <row r="49" ht="15.75" hidden="1" customHeight="1">
      <c r="A49" s="220" t="s">
        <v>602</v>
      </c>
      <c r="B49" s="220">
        <v>2.4450080321E10</v>
      </c>
      <c r="C49" s="220" t="s">
        <v>443</v>
      </c>
      <c r="D49" s="220" t="s">
        <v>603</v>
      </c>
      <c r="E49" s="220" t="s">
        <v>222</v>
      </c>
      <c r="F49" s="220" t="s">
        <v>445</v>
      </c>
      <c r="G49" s="220">
        <v>1.0</v>
      </c>
      <c r="H49" s="220" t="s">
        <v>446</v>
      </c>
      <c r="I49" s="220" t="s">
        <v>447</v>
      </c>
      <c r="J49" s="220" t="s">
        <v>448</v>
      </c>
      <c r="K49" s="220" t="s">
        <v>604</v>
      </c>
      <c r="L49" s="220" t="s">
        <v>605</v>
      </c>
      <c r="M49" s="220">
        <v>80202.0</v>
      </c>
      <c r="N49" s="220" t="s">
        <v>451</v>
      </c>
      <c r="O49" s="220">
        <v>110.49</v>
      </c>
      <c r="P49" s="220">
        <v>10.11</v>
      </c>
      <c r="Q49" s="220">
        <v>0.0</v>
      </c>
      <c r="R49" s="220">
        <v>0.0</v>
      </c>
      <c r="S49" s="220">
        <v>0.0</v>
      </c>
      <c r="T49" s="220">
        <v>0.0</v>
      </c>
      <c r="U49" s="220">
        <v>0.0</v>
      </c>
      <c r="V49" s="220">
        <v>0.0</v>
      </c>
      <c r="W49" s="220">
        <v>0.0</v>
      </c>
      <c r="X49" s="220">
        <v>0.0</v>
      </c>
      <c r="Y49" s="220">
        <v>-10.11</v>
      </c>
      <c r="Z49" s="220">
        <v>-16.57</v>
      </c>
      <c r="AA49" s="220">
        <v>-16.45</v>
      </c>
      <c r="AB49" s="220">
        <v>0.0</v>
      </c>
      <c r="AC49" s="220">
        <v>0.0</v>
      </c>
      <c r="AD49" s="220">
        <v>77.47</v>
      </c>
      <c r="AE49" s="220">
        <f>IF('2025Sep1-2025Sep30CustomUnified'!$C49="order",'2025Sep1-2025Sep30CustomUnified'!$O49,0)</f>
        <v>110.49</v>
      </c>
      <c r="AF49" s="220">
        <f>IF('2025Sep1-2025Sep30CustomUnified'!$C49="refund",'2025Sep1-2025Sep30CustomUnified'!$O49,0)</f>
        <v>0</v>
      </c>
      <c r="AG49" s="220">
        <f>SUM('2025Sep1-2025Sep30CustomUnified'!$AE49:$AF49)</f>
        <v>110.49</v>
      </c>
      <c r="AH49" s="220">
        <f>IF('2025Sep1-2025Sep30CustomUnified'!$C49="order",'2025Sep1-2025Sep30CustomUnified'!$G49,0)</f>
        <v>1</v>
      </c>
      <c r="AI49" s="220">
        <f>IF('2025Sep1-2025Sep30CustomUnified'!$C49="refund",-'2025Sep1-2025Sep30CustomUnified'!$G49,0)</f>
        <v>0</v>
      </c>
      <c r="AJ49" s="220">
        <f>SUM('2025Sep1-2025Sep30CustomUnified'!$AH49:$AI49)</f>
        <v>1</v>
      </c>
      <c r="AK49" s="220">
        <f>'2025Sep1-2025Sep30CustomUnified'!$Z49</f>
        <v>-16.57</v>
      </c>
      <c r="AL49" s="220">
        <f>'2025Sep1-2025Sep30CustomUnified'!$AA49+'2025Sep1-2025Sep30CustomUnified'!$W49+'2025Sep1-2025Sep30CustomUnified'!$U49+'2025Sep1-2025Sep30CustomUnified'!$S49+'2025Sep1-2025Sep30CustomUnified'!$Q49</f>
        <v>-16.45</v>
      </c>
      <c r="AM49" s="220">
        <f>SUM('2025Sep1-2025Sep30CustomUnified'!$AB49:$AC49)</f>
        <v>0</v>
      </c>
      <c r="AN49" s="220">
        <f>SUM('2025Sep1-2025Sep30CustomUnified'!$AK49:$AM49)</f>
        <v>-33.02</v>
      </c>
      <c r="AO49" s="220">
        <f>'2025Sep1-2025Sep30CustomUnified'!$AG49+'2025Sep1-2025Sep30CustomUnified'!$AN49</f>
        <v>77.47</v>
      </c>
    </row>
    <row r="50" ht="15.75" hidden="1" customHeight="1">
      <c r="A50" s="220" t="s">
        <v>606</v>
      </c>
      <c r="B50" s="220">
        <v>2.4450080321E10</v>
      </c>
      <c r="C50" s="220" t="s">
        <v>443</v>
      </c>
      <c r="D50" s="220" t="s">
        <v>607</v>
      </c>
      <c r="E50" s="220" t="s">
        <v>228</v>
      </c>
      <c r="F50" s="220" t="s">
        <v>458</v>
      </c>
      <c r="G50" s="220">
        <v>1.0</v>
      </c>
      <c r="H50" s="220" t="s">
        <v>446</v>
      </c>
      <c r="I50" s="220" t="s">
        <v>447</v>
      </c>
      <c r="J50" s="220" t="s">
        <v>448</v>
      </c>
      <c r="K50" s="220" t="s">
        <v>608</v>
      </c>
      <c r="L50" s="220" t="s">
        <v>549</v>
      </c>
      <c r="M50" s="220">
        <v>75220.0</v>
      </c>
      <c r="N50" s="220" t="s">
        <v>451</v>
      </c>
      <c r="O50" s="220">
        <v>206.99</v>
      </c>
      <c r="P50" s="220">
        <v>17.08</v>
      </c>
      <c r="Q50" s="220">
        <v>0.0</v>
      </c>
      <c r="R50" s="220">
        <v>0.0</v>
      </c>
      <c r="S50" s="220">
        <v>0.0</v>
      </c>
      <c r="T50" s="220">
        <v>0.0</v>
      </c>
      <c r="U50" s="220">
        <v>0.0</v>
      </c>
      <c r="V50" s="220">
        <v>0.0</v>
      </c>
      <c r="W50" s="220">
        <v>0.0</v>
      </c>
      <c r="X50" s="220">
        <v>0.0</v>
      </c>
      <c r="Y50" s="220">
        <v>-17.08</v>
      </c>
      <c r="Z50" s="220">
        <v>-30.7</v>
      </c>
      <c r="AA50" s="220">
        <v>-21.39</v>
      </c>
      <c r="AB50" s="220">
        <v>0.0</v>
      </c>
      <c r="AC50" s="220">
        <v>0.0</v>
      </c>
      <c r="AD50" s="220">
        <v>154.9</v>
      </c>
      <c r="AE50" s="220">
        <f>IF('2025Sep1-2025Sep30CustomUnified'!$C50="order",'2025Sep1-2025Sep30CustomUnified'!$O50,0)</f>
        <v>206.99</v>
      </c>
      <c r="AF50" s="220">
        <f>IF('2025Sep1-2025Sep30CustomUnified'!$C50="refund",'2025Sep1-2025Sep30CustomUnified'!$O50,0)</f>
        <v>0</v>
      </c>
      <c r="AG50" s="220">
        <f>SUM('2025Sep1-2025Sep30CustomUnified'!$AE50:$AF50)</f>
        <v>206.99</v>
      </c>
      <c r="AH50" s="220">
        <f>IF('2025Sep1-2025Sep30CustomUnified'!$C50="order",'2025Sep1-2025Sep30CustomUnified'!$G50,0)</f>
        <v>1</v>
      </c>
      <c r="AI50" s="220">
        <f>IF('2025Sep1-2025Sep30CustomUnified'!$C50="refund",-'2025Sep1-2025Sep30CustomUnified'!$G50,0)</f>
        <v>0</v>
      </c>
      <c r="AJ50" s="220">
        <f>SUM('2025Sep1-2025Sep30CustomUnified'!$AH50:$AI50)</f>
        <v>1</v>
      </c>
      <c r="AK50" s="220">
        <f>'2025Sep1-2025Sep30CustomUnified'!$Z50</f>
        <v>-30.7</v>
      </c>
      <c r="AL50" s="220">
        <f>'2025Sep1-2025Sep30CustomUnified'!$AA50+'2025Sep1-2025Sep30CustomUnified'!$W50+'2025Sep1-2025Sep30CustomUnified'!$U50+'2025Sep1-2025Sep30CustomUnified'!$S50+'2025Sep1-2025Sep30CustomUnified'!$Q50</f>
        <v>-21.39</v>
      </c>
      <c r="AM50" s="220">
        <f>SUM('2025Sep1-2025Sep30CustomUnified'!$AB50:$AC50)</f>
        <v>0</v>
      </c>
      <c r="AN50" s="220">
        <f>SUM('2025Sep1-2025Sep30CustomUnified'!$AK50:$AM50)</f>
        <v>-52.09</v>
      </c>
      <c r="AO50" s="220">
        <f>'2025Sep1-2025Sep30CustomUnified'!$AG50+'2025Sep1-2025Sep30CustomUnified'!$AN50</f>
        <v>154.9</v>
      </c>
    </row>
    <row r="51" ht="15.75" hidden="1" customHeight="1">
      <c r="A51" s="220" t="s">
        <v>609</v>
      </c>
      <c r="B51" s="220">
        <v>2.4450080321E10</v>
      </c>
      <c r="C51" s="220" t="s">
        <v>443</v>
      </c>
      <c r="D51" s="220" t="s">
        <v>610</v>
      </c>
      <c r="E51" s="220" t="s">
        <v>222</v>
      </c>
      <c r="F51" s="220" t="s">
        <v>445</v>
      </c>
      <c r="G51" s="220">
        <v>1.0</v>
      </c>
      <c r="H51" s="220" t="s">
        <v>446</v>
      </c>
      <c r="I51" s="220" t="s">
        <v>447</v>
      </c>
      <c r="J51" s="220" t="s">
        <v>448</v>
      </c>
      <c r="K51" s="220" t="s">
        <v>611</v>
      </c>
      <c r="L51" s="220" t="s">
        <v>455</v>
      </c>
      <c r="M51" s="220">
        <v>93636.0</v>
      </c>
      <c r="N51" s="220" t="s">
        <v>451</v>
      </c>
      <c r="O51" s="220">
        <v>129.99</v>
      </c>
      <c r="P51" s="220">
        <v>10.07</v>
      </c>
      <c r="Q51" s="220">
        <v>0.0</v>
      </c>
      <c r="R51" s="220">
        <v>0.0</v>
      </c>
      <c r="S51" s="220">
        <v>0.0</v>
      </c>
      <c r="T51" s="220">
        <v>0.0</v>
      </c>
      <c r="U51" s="220">
        <v>0.0</v>
      </c>
      <c r="V51" s="220">
        <v>0.0</v>
      </c>
      <c r="W51" s="220">
        <v>0.0</v>
      </c>
      <c r="X51" s="220">
        <v>0.0</v>
      </c>
      <c r="Y51" s="220">
        <v>-10.07</v>
      </c>
      <c r="Z51" s="220">
        <v>-19.5</v>
      </c>
      <c r="AA51" s="220">
        <v>-16.45</v>
      </c>
      <c r="AB51" s="220">
        <v>0.0</v>
      </c>
      <c r="AC51" s="220">
        <v>0.0</v>
      </c>
      <c r="AD51" s="220">
        <v>94.04</v>
      </c>
      <c r="AE51" s="220">
        <f>IF('2025Sep1-2025Sep30CustomUnified'!$C51="order",'2025Sep1-2025Sep30CustomUnified'!$O51,0)</f>
        <v>129.99</v>
      </c>
      <c r="AF51" s="220">
        <f>IF('2025Sep1-2025Sep30CustomUnified'!$C51="refund",'2025Sep1-2025Sep30CustomUnified'!$O51,0)</f>
        <v>0</v>
      </c>
      <c r="AG51" s="220">
        <f>SUM('2025Sep1-2025Sep30CustomUnified'!$AE51:$AF51)</f>
        <v>129.99</v>
      </c>
      <c r="AH51" s="220">
        <f>IF('2025Sep1-2025Sep30CustomUnified'!$C51="order",'2025Sep1-2025Sep30CustomUnified'!$G51,0)</f>
        <v>1</v>
      </c>
      <c r="AI51" s="220">
        <f>IF('2025Sep1-2025Sep30CustomUnified'!$C51="refund",-'2025Sep1-2025Sep30CustomUnified'!$G51,0)</f>
        <v>0</v>
      </c>
      <c r="AJ51" s="220">
        <f>SUM('2025Sep1-2025Sep30CustomUnified'!$AH51:$AI51)</f>
        <v>1</v>
      </c>
      <c r="AK51" s="220">
        <f>'2025Sep1-2025Sep30CustomUnified'!$Z51</f>
        <v>-19.5</v>
      </c>
      <c r="AL51" s="220">
        <f>'2025Sep1-2025Sep30CustomUnified'!$AA51+'2025Sep1-2025Sep30CustomUnified'!$W51+'2025Sep1-2025Sep30CustomUnified'!$U51+'2025Sep1-2025Sep30CustomUnified'!$S51+'2025Sep1-2025Sep30CustomUnified'!$Q51</f>
        <v>-16.45</v>
      </c>
      <c r="AM51" s="220">
        <f>SUM('2025Sep1-2025Sep30CustomUnified'!$AB51:$AC51)</f>
        <v>0</v>
      </c>
      <c r="AN51" s="220">
        <f>SUM('2025Sep1-2025Sep30CustomUnified'!$AK51:$AM51)</f>
        <v>-35.95</v>
      </c>
      <c r="AO51" s="220">
        <f>'2025Sep1-2025Sep30CustomUnified'!$AG51+'2025Sep1-2025Sep30CustomUnified'!$AN51</f>
        <v>94.04</v>
      </c>
    </row>
    <row r="52" ht="15.75" hidden="1" customHeight="1">
      <c r="A52" s="220" t="s">
        <v>612</v>
      </c>
      <c r="B52" s="220">
        <v>2.4450080321E10</v>
      </c>
      <c r="C52" s="220" t="s">
        <v>443</v>
      </c>
      <c r="D52" s="220" t="s">
        <v>613</v>
      </c>
      <c r="E52" s="220" t="s">
        <v>224</v>
      </c>
      <c r="F52" s="220" t="s">
        <v>495</v>
      </c>
      <c r="G52" s="220">
        <v>1.0</v>
      </c>
      <c r="H52" s="220" t="s">
        <v>446</v>
      </c>
      <c r="I52" s="220" t="s">
        <v>447</v>
      </c>
      <c r="J52" s="220" t="s">
        <v>448</v>
      </c>
      <c r="K52" s="220" t="s">
        <v>614</v>
      </c>
      <c r="L52" s="220" t="s">
        <v>464</v>
      </c>
      <c r="M52" s="220">
        <v>97305.0</v>
      </c>
      <c r="N52" s="220"/>
      <c r="O52" s="220">
        <v>110.49</v>
      </c>
      <c r="P52" s="220">
        <v>0.0</v>
      </c>
      <c r="Q52" s="220">
        <v>0.0</v>
      </c>
      <c r="R52" s="220">
        <v>0.0</v>
      </c>
      <c r="S52" s="220">
        <v>0.0</v>
      </c>
      <c r="T52" s="220">
        <v>0.0</v>
      </c>
      <c r="U52" s="220">
        <v>0.0</v>
      </c>
      <c r="V52" s="220">
        <v>0.0</v>
      </c>
      <c r="W52" s="220">
        <v>0.0</v>
      </c>
      <c r="X52" s="220">
        <v>0.0</v>
      </c>
      <c r="Y52" s="220">
        <v>0.0</v>
      </c>
      <c r="Z52" s="220">
        <v>-33.14</v>
      </c>
      <c r="AA52" s="220">
        <v>-16.45</v>
      </c>
      <c r="AB52" s="220">
        <v>0.0</v>
      </c>
      <c r="AC52" s="220">
        <v>0.0</v>
      </c>
      <c r="AD52" s="220">
        <v>60.9</v>
      </c>
      <c r="AE52" s="220">
        <f>IF('2025Sep1-2025Sep30CustomUnified'!$C52="order",'2025Sep1-2025Sep30CustomUnified'!$O52,0)</f>
        <v>110.49</v>
      </c>
      <c r="AF52" s="220">
        <f>IF('2025Sep1-2025Sep30CustomUnified'!$C52="refund",'2025Sep1-2025Sep30CustomUnified'!$O52,0)</f>
        <v>0</v>
      </c>
      <c r="AG52" s="220">
        <f>SUM('2025Sep1-2025Sep30CustomUnified'!$AE52:$AF52)</f>
        <v>110.49</v>
      </c>
      <c r="AH52" s="220">
        <f>IF('2025Sep1-2025Sep30CustomUnified'!$C52="order",'2025Sep1-2025Sep30CustomUnified'!$G52,0)</f>
        <v>1</v>
      </c>
      <c r="AI52" s="220">
        <f>IF('2025Sep1-2025Sep30CustomUnified'!$C52="refund",-'2025Sep1-2025Sep30CustomUnified'!$G52,0)</f>
        <v>0</v>
      </c>
      <c r="AJ52" s="220">
        <f>SUM('2025Sep1-2025Sep30CustomUnified'!$AH52:$AI52)</f>
        <v>1</v>
      </c>
      <c r="AK52" s="220">
        <f>'2025Sep1-2025Sep30CustomUnified'!$Z52</f>
        <v>-33.14</v>
      </c>
      <c r="AL52" s="220">
        <f>'2025Sep1-2025Sep30CustomUnified'!$AA52+'2025Sep1-2025Sep30CustomUnified'!$W52+'2025Sep1-2025Sep30CustomUnified'!$U52+'2025Sep1-2025Sep30CustomUnified'!$S52+'2025Sep1-2025Sep30CustomUnified'!$Q52</f>
        <v>-16.45</v>
      </c>
      <c r="AM52" s="220">
        <f>SUM('2025Sep1-2025Sep30CustomUnified'!$AB52:$AC52)</f>
        <v>0</v>
      </c>
      <c r="AN52" s="220">
        <f>SUM('2025Sep1-2025Sep30CustomUnified'!$AK52:$AM52)</f>
        <v>-49.59</v>
      </c>
      <c r="AO52" s="220">
        <f>'2025Sep1-2025Sep30CustomUnified'!$AG52+'2025Sep1-2025Sep30CustomUnified'!$AN52</f>
        <v>60.9</v>
      </c>
    </row>
    <row r="53" ht="15.75" hidden="1" customHeight="1">
      <c r="A53" s="220" t="s">
        <v>612</v>
      </c>
      <c r="B53" s="220">
        <v>2.4450080321E10</v>
      </c>
      <c r="C53" s="220" t="s">
        <v>443</v>
      </c>
      <c r="D53" s="220" t="s">
        <v>613</v>
      </c>
      <c r="E53" s="220" t="s">
        <v>224</v>
      </c>
      <c r="F53" s="220" t="s">
        <v>495</v>
      </c>
      <c r="G53" s="220">
        <v>1.0</v>
      </c>
      <c r="H53" s="220" t="s">
        <v>446</v>
      </c>
      <c r="I53" s="220" t="s">
        <v>447</v>
      </c>
      <c r="J53" s="220" t="s">
        <v>448</v>
      </c>
      <c r="K53" s="220" t="s">
        <v>614</v>
      </c>
      <c r="L53" s="220" t="s">
        <v>464</v>
      </c>
      <c r="M53" s="220">
        <v>97305.0</v>
      </c>
      <c r="N53" s="220"/>
      <c r="O53" s="220">
        <v>110.49</v>
      </c>
      <c r="P53" s="220">
        <v>0.0</v>
      </c>
      <c r="Q53" s="220">
        <v>0.0</v>
      </c>
      <c r="R53" s="220">
        <v>0.0</v>
      </c>
      <c r="S53" s="220">
        <v>0.0</v>
      </c>
      <c r="T53" s="220">
        <v>0.0</v>
      </c>
      <c r="U53" s="220">
        <v>0.0</v>
      </c>
      <c r="V53" s="220">
        <v>0.0</v>
      </c>
      <c r="W53" s="220">
        <v>0.0</v>
      </c>
      <c r="X53" s="220">
        <v>0.0</v>
      </c>
      <c r="Y53" s="220">
        <v>0.0</v>
      </c>
      <c r="Z53" s="220">
        <v>0.0</v>
      </c>
      <c r="AA53" s="220">
        <v>-16.45</v>
      </c>
      <c r="AB53" s="220">
        <v>0.0</v>
      </c>
      <c r="AC53" s="220">
        <v>0.0</v>
      </c>
      <c r="AD53" s="220">
        <v>94.04</v>
      </c>
      <c r="AE53" s="220">
        <f>IF('2025Sep1-2025Sep30CustomUnified'!$C53="order",'2025Sep1-2025Sep30CustomUnified'!$O53,0)</f>
        <v>110.49</v>
      </c>
      <c r="AF53" s="220">
        <f>IF('2025Sep1-2025Sep30CustomUnified'!$C53="refund",'2025Sep1-2025Sep30CustomUnified'!$O53,0)</f>
        <v>0</v>
      </c>
      <c r="AG53" s="220">
        <f>SUM('2025Sep1-2025Sep30CustomUnified'!$AE53:$AF53)</f>
        <v>110.49</v>
      </c>
      <c r="AH53" s="220">
        <f>IF('2025Sep1-2025Sep30CustomUnified'!$C53="order",'2025Sep1-2025Sep30CustomUnified'!$G53,0)</f>
        <v>1</v>
      </c>
      <c r="AI53" s="220">
        <f>IF('2025Sep1-2025Sep30CustomUnified'!$C53="refund",-'2025Sep1-2025Sep30CustomUnified'!$G53,0)</f>
        <v>0</v>
      </c>
      <c r="AJ53" s="220">
        <f>SUM('2025Sep1-2025Sep30CustomUnified'!$AH53:$AI53)</f>
        <v>1</v>
      </c>
      <c r="AK53" s="220">
        <f>'2025Sep1-2025Sep30CustomUnified'!$Z53</f>
        <v>0</v>
      </c>
      <c r="AL53" s="220">
        <f>'2025Sep1-2025Sep30CustomUnified'!$AA53+'2025Sep1-2025Sep30CustomUnified'!$W53+'2025Sep1-2025Sep30CustomUnified'!$U53+'2025Sep1-2025Sep30CustomUnified'!$S53+'2025Sep1-2025Sep30CustomUnified'!$Q53</f>
        <v>-16.45</v>
      </c>
      <c r="AM53" s="220">
        <f>SUM('2025Sep1-2025Sep30CustomUnified'!$AB53:$AC53)</f>
        <v>0</v>
      </c>
      <c r="AN53" s="220">
        <f>SUM('2025Sep1-2025Sep30CustomUnified'!$AK53:$AM53)</f>
        <v>-16.45</v>
      </c>
      <c r="AO53" s="220">
        <f>'2025Sep1-2025Sep30CustomUnified'!$AG53+'2025Sep1-2025Sep30CustomUnified'!$AN53</f>
        <v>94.04</v>
      </c>
    </row>
    <row r="54" ht="15.75" hidden="1" customHeight="1">
      <c r="A54" s="220" t="s">
        <v>615</v>
      </c>
      <c r="B54" s="220">
        <v>2.4450080321E10</v>
      </c>
      <c r="C54" s="220" t="s">
        <v>443</v>
      </c>
      <c r="D54" s="220" t="s">
        <v>616</v>
      </c>
      <c r="E54" s="220" t="s">
        <v>229</v>
      </c>
      <c r="F54" s="220" t="s">
        <v>501</v>
      </c>
      <c r="G54" s="220">
        <v>1.0</v>
      </c>
      <c r="H54" s="220" t="s">
        <v>446</v>
      </c>
      <c r="I54" s="220" t="s">
        <v>447</v>
      </c>
      <c r="J54" s="220" t="s">
        <v>448</v>
      </c>
      <c r="K54" s="220" t="s">
        <v>617</v>
      </c>
      <c r="L54" s="220" t="s">
        <v>455</v>
      </c>
      <c r="M54" s="220">
        <v>96022.0</v>
      </c>
      <c r="N54" s="220" t="s">
        <v>451</v>
      </c>
      <c r="O54" s="220">
        <v>85.49</v>
      </c>
      <c r="P54" s="220">
        <v>6.2</v>
      </c>
      <c r="Q54" s="220">
        <v>0.0</v>
      </c>
      <c r="R54" s="220">
        <v>0.0</v>
      </c>
      <c r="S54" s="220">
        <v>0.0</v>
      </c>
      <c r="T54" s="220">
        <v>0.0</v>
      </c>
      <c r="U54" s="220">
        <v>0.0</v>
      </c>
      <c r="V54" s="220">
        <v>0.0</v>
      </c>
      <c r="W54" s="220">
        <v>0.0</v>
      </c>
      <c r="X54" s="220">
        <v>0.0</v>
      </c>
      <c r="Y54" s="220">
        <v>-6.2</v>
      </c>
      <c r="Z54" s="220">
        <v>-12.82</v>
      </c>
      <c r="AA54" s="220">
        <v>-13.03</v>
      </c>
      <c r="AB54" s="220">
        <v>0.0</v>
      </c>
      <c r="AC54" s="220">
        <v>0.0</v>
      </c>
      <c r="AD54" s="220">
        <v>59.64</v>
      </c>
      <c r="AE54" s="220">
        <f>IF('2025Sep1-2025Sep30CustomUnified'!$C54="order",'2025Sep1-2025Sep30CustomUnified'!$O54,0)</f>
        <v>85.49</v>
      </c>
      <c r="AF54" s="220">
        <f>IF('2025Sep1-2025Sep30CustomUnified'!$C54="refund",'2025Sep1-2025Sep30CustomUnified'!$O54,0)</f>
        <v>0</v>
      </c>
      <c r="AG54" s="220">
        <f>SUM('2025Sep1-2025Sep30CustomUnified'!$AE54:$AF54)</f>
        <v>85.49</v>
      </c>
      <c r="AH54" s="220">
        <f>IF('2025Sep1-2025Sep30CustomUnified'!$C54="order",'2025Sep1-2025Sep30CustomUnified'!$G54,0)</f>
        <v>1</v>
      </c>
      <c r="AI54" s="220">
        <f>IF('2025Sep1-2025Sep30CustomUnified'!$C54="refund",-'2025Sep1-2025Sep30CustomUnified'!$G54,0)</f>
        <v>0</v>
      </c>
      <c r="AJ54" s="220">
        <f>SUM('2025Sep1-2025Sep30CustomUnified'!$AH54:$AI54)</f>
        <v>1</v>
      </c>
      <c r="AK54" s="220">
        <f>'2025Sep1-2025Sep30CustomUnified'!$Z54</f>
        <v>-12.82</v>
      </c>
      <c r="AL54" s="220">
        <f>'2025Sep1-2025Sep30CustomUnified'!$AA54+'2025Sep1-2025Sep30CustomUnified'!$W54+'2025Sep1-2025Sep30CustomUnified'!$U54+'2025Sep1-2025Sep30CustomUnified'!$S54+'2025Sep1-2025Sep30CustomUnified'!$Q54</f>
        <v>-13.03</v>
      </c>
      <c r="AM54" s="220">
        <f>SUM('2025Sep1-2025Sep30CustomUnified'!$AB54:$AC54)</f>
        <v>0</v>
      </c>
      <c r="AN54" s="220">
        <f>SUM('2025Sep1-2025Sep30CustomUnified'!$AK54:$AM54)</f>
        <v>-25.85</v>
      </c>
      <c r="AO54" s="220">
        <f>'2025Sep1-2025Sep30CustomUnified'!$AG54+'2025Sep1-2025Sep30CustomUnified'!$AN54</f>
        <v>59.64</v>
      </c>
    </row>
    <row r="55" ht="15.75" hidden="1" customHeight="1">
      <c r="A55" s="220" t="s">
        <v>618</v>
      </c>
      <c r="B55" s="220">
        <v>2.4450080321E10</v>
      </c>
      <c r="C55" s="220" t="s">
        <v>443</v>
      </c>
      <c r="D55" s="220" t="s">
        <v>619</v>
      </c>
      <c r="E55" s="220" t="s">
        <v>224</v>
      </c>
      <c r="F55" s="220" t="s">
        <v>495</v>
      </c>
      <c r="G55" s="220">
        <v>1.0</v>
      </c>
      <c r="H55" s="220" t="s">
        <v>446</v>
      </c>
      <c r="I55" s="220" t="s">
        <v>447</v>
      </c>
      <c r="J55" s="220" t="s">
        <v>448</v>
      </c>
      <c r="K55" s="220" t="s">
        <v>620</v>
      </c>
      <c r="L55" s="220" t="s">
        <v>475</v>
      </c>
      <c r="M55" s="220">
        <v>33545.0</v>
      </c>
      <c r="N55" s="220" t="s">
        <v>451</v>
      </c>
      <c r="O55" s="220">
        <v>110.49</v>
      </c>
      <c r="P55" s="220">
        <v>7.73</v>
      </c>
      <c r="Q55" s="220">
        <v>0.0</v>
      </c>
      <c r="R55" s="220">
        <v>0.0</v>
      </c>
      <c r="S55" s="220">
        <v>0.0</v>
      </c>
      <c r="T55" s="220">
        <v>0.0</v>
      </c>
      <c r="U55" s="220">
        <v>0.0</v>
      </c>
      <c r="V55" s="220">
        <v>0.0</v>
      </c>
      <c r="W55" s="220">
        <v>0.0</v>
      </c>
      <c r="X55" s="220">
        <v>0.0</v>
      </c>
      <c r="Y55" s="220">
        <v>-7.73</v>
      </c>
      <c r="Z55" s="220">
        <v>-16.57</v>
      </c>
      <c r="AA55" s="220">
        <v>0.0</v>
      </c>
      <c r="AB55" s="220">
        <v>0.0</v>
      </c>
      <c r="AC55" s="220">
        <v>0.0</v>
      </c>
      <c r="AD55" s="220">
        <v>93.92</v>
      </c>
      <c r="AE55" s="220">
        <f>IF('2025Sep1-2025Sep30CustomUnified'!$C55="order",'2025Sep1-2025Sep30CustomUnified'!$O55,0)</f>
        <v>110.49</v>
      </c>
      <c r="AF55" s="220">
        <f>IF('2025Sep1-2025Sep30CustomUnified'!$C55="refund",'2025Sep1-2025Sep30CustomUnified'!$O55,0)</f>
        <v>0</v>
      </c>
      <c r="AG55" s="220">
        <f>SUM('2025Sep1-2025Sep30CustomUnified'!$AE55:$AF55)</f>
        <v>110.49</v>
      </c>
      <c r="AH55" s="220">
        <f>IF('2025Sep1-2025Sep30CustomUnified'!$C55="order",'2025Sep1-2025Sep30CustomUnified'!$G55,0)</f>
        <v>1</v>
      </c>
      <c r="AI55" s="220">
        <f>IF('2025Sep1-2025Sep30CustomUnified'!$C55="refund",-'2025Sep1-2025Sep30CustomUnified'!$G55,0)</f>
        <v>0</v>
      </c>
      <c r="AJ55" s="220">
        <f>SUM('2025Sep1-2025Sep30CustomUnified'!$AH55:$AI55)</f>
        <v>1</v>
      </c>
      <c r="AK55" s="220">
        <f>'2025Sep1-2025Sep30CustomUnified'!$Z55</f>
        <v>-16.57</v>
      </c>
      <c r="AL55" s="220">
        <f>'2025Sep1-2025Sep30CustomUnified'!$AA55+'2025Sep1-2025Sep30CustomUnified'!$W55+'2025Sep1-2025Sep30CustomUnified'!$U55+'2025Sep1-2025Sep30CustomUnified'!$S55+'2025Sep1-2025Sep30CustomUnified'!$Q55</f>
        <v>0</v>
      </c>
      <c r="AM55" s="220">
        <f>SUM('2025Sep1-2025Sep30CustomUnified'!$AB55:$AC55)</f>
        <v>0</v>
      </c>
      <c r="AN55" s="220">
        <f>SUM('2025Sep1-2025Sep30CustomUnified'!$AK55:$AM55)</f>
        <v>-16.57</v>
      </c>
      <c r="AO55" s="220">
        <f>'2025Sep1-2025Sep30CustomUnified'!$AG55+'2025Sep1-2025Sep30CustomUnified'!$AN55</f>
        <v>93.92</v>
      </c>
    </row>
    <row r="56" ht="15.75" hidden="1" customHeight="1">
      <c r="A56" s="220" t="s">
        <v>621</v>
      </c>
      <c r="B56" s="220">
        <v>2.4450080321E10</v>
      </c>
      <c r="C56" s="220" t="s">
        <v>443</v>
      </c>
      <c r="D56" s="220" t="s">
        <v>622</v>
      </c>
      <c r="E56" s="220" t="s">
        <v>229</v>
      </c>
      <c r="F56" s="220" t="s">
        <v>501</v>
      </c>
      <c r="G56" s="220">
        <v>2.0</v>
      </c>
      <c r="H56" s="220" t="s">
        <v>446</v>
      </c>
      <c r="I56" s="220" t="s">
        <v>447</v>
      </c>
      <c r="J56" s="220" t="s">
        <v>448</v>
      </c>
      <c r="K56" s="220" t="s">
        <v>623</v>
      </c>
      <c r="L56" s="220" t="s">
        <v>624</v>
      </c>
      <c r="M56" s="220">
        <v>71909.0</v>
      </c>
      <c r="N56" s="220" t="s">
        <v>451</v>
      </c>
      <c r="O56" s="220">
        <v>170.98</v>
      </c>
      <c r="P56" s="220">
        <v>11.76</v>
      </c>
      <c r="Q56" s="220">
        <v>0.0</v>
      </c>
      <c r="R56" s="220">
        <v>0.0</v>
      </c>
      <c r="S56" s="220">
        <v>0.0</v>
      </c>
      <c r="T56" s="220">
        <v>0.0</v>
      </c>
      <c r="U56" s="220">
        <v>0.0</v>
      </c>
      <c r="V56" s="220">
        <v>0.0</v>
      </c>
      <c r="W56" s="220">
        <v>0.0</v>
      </c>
      <c r="X56" s="220">
        <v>0.0</v>
      </c>
      <c r="Y56" s="220">
        <v>-11.76</v>
      </c>
      <c r="Z56" s="220">
        <v>-25.64</v>
      </c>
      <c r="AA56" s="220">
        <v>-26.06</v>
      </c>
      <c r="AB56" s="220">
        <v>0.0</v>
      </c>
      <c r="AC56" s="220">
        <v>0.0</v>
      </c>
      <c r="AD56" s="220">
        <v>119.28</v>
      </c>
      <c r="AE56" s="220">
        <f>IF('2025Sep1-2025Sep30CustomUnified'!$C56="order",'2025Sep1-2025Sep30CustomUnified'!$O56,0)</f>
        <v>170.98</v>
      </c>
      <c r="AF56" s="220">
        <f>IF('2025Sep1-2025Sep30CustomUnified'!$C56="refund",'2025Sep1-2025Sep30CustomUnified'!$O56,0)</f>
        <v>0</v>
      </c>
      <c r="AG56" s="220">
        <f>SUM('2025Sep1-2025Sep30CustomUnified'!$AE56:$AF56)</f>
        <v>170.98</v>
      </c>
      <c r="AH56" s="220">
        <f>IF('2025Sep1-2025Sep30CustomUnified'!$C56="order",'2025Sep1-2025Sep30CustomUnified'!$G56,0)</f>
        <v>2</v>
      </c>
      <c r="AI56" s="220">
        <f>IF('2025Sep1-2025Sep30CustomUnified'!$C56="refund",-'2025Sep1-2025Sep30CustomUnified'!$G56,0)</f>
        <v>0</v>
      </c>
      <c r="AJ56" s="220">
        <f>SUM('2025Sep1-2025Sep30CustomUnified'!$AH56:$AI56)</f>
        <v>2</v>
      </c>
      <c r="AK56" s="220">
        <f>'2025Sep1-2025Sep30CustomUnified'!$Z56</f>
        <v>-25.64</v>
      </c>
      <c r="AL56" s="220">
        <f>'2025Sep1-2025Sep30CustomUnified'!$AA56+'2025Sep1-2025Sep30CustomUnified'!$W56+'2025Sep1-2025Sep30CustomUnified'!$U56+'2025Sep1-2025Sep30CustomUnified'!$S56+'2025Sep1-2025Sep30CustomUnified'!$Q56</f>
        <v>-26.06</v>
      </c>
      <c r="AM56" s="220">
        <f>SUM('2025Sep1-2025Sep30CustomUnified'!$AB56:$AC56)</f>
        <v>0</v>
      </c>
      <c r="AN56" s="220">
        <f>SUM('2025Sep1-2025Sep30CustomUnified'!$AK56:$AM56)</f>
        <v>-51.7</v>
      </c>
      <c r="AO56" s="220">
        <f>'2025Sep1-2025Sep30CustomUnified'!$AG56+'2025Sep1-2025Sep30CustomUnified'!$AN56</f>
        <v>119.28</v>
      </c>
    </row>
    <row r="57" ht="15.75" hidden="1" customHeight="1">
      <c r="A57" s="220" t="s">
        <v>625</v>
      </c>
      <c r="B57" s="220">
        <v>2.4450080321E10</v>
      </c>
      <c r="C57" s="220" t="s">
        <v>443</v>
      </c>
      <c r="D57" s="220" t="s">
        <v>626</v>
      </c>
      <c r="E57" s="220" t="s">
        <v>224</v>
      </c>
      <c r="F57" s="220" t="s">
        <v>495</v>
      </c>
      <c r="G57" s="220">
        <v>1.0</v>
      </c>
      <c r="H57" s="220" t="s">
        <v>446</v>
      </c>
      <c r="I57" s="220" t="s">
        <v>447</v>
      </c>
      <c r="J57" s="220" t="s">
        <v>448</v>
      </c>
      <c r="K57" s="220" t="s">
        <v>627</v>
      </c>
      <c r="L57" s="220" t="s">
        <v>533</v>
      </c>
      <c r="M57" s="220">
        <v>70586.0</v>
      </c>
      <c r="N57" s="220" t="s">
        <v>451</v>
      </c>
      <c r="O57" s="220">
        <v>110.49</v>
      </c>
      <c r="P57" s="220">
        <v>12.15</v>
      </c>
      <c r="Q57" s="220">
        <v>0.0</v>
      </c>
      <c r="R57" s="220">
        <v>0.0</v>
      </c>
      <c r="S57" s="220">
        <v>0.0</v>
      </c>
      <c r="T57" s="220">
        <v>0.0</v>
      </c>
      <c r="U57" s="220">
        <v>0.0</v>
      </c>
      <c r="V57" s="220">
        <v>0.0</v>
      </c>
      <c r="W57" s="220">
        <v>0.0</v>
      </c>
      <c r="X57" s="220">
        <v>0.0</v>
      </c>
      <c r="Y57" s="220">
        <v>-12.15</v>
      </c>
      <c r="Z57" s="220">
        <v>-16.57</v>
      </c>
      <c r="AA57" s="220">
        <v>0.0</v>
      </c>
      <c r="AB57" s="220">
        <v>0.0</v>
      </c>
      <c r="AC57" s="220">
        <v>0.0</v>
      </c>
      <c r="AD57" s="220">
        <v>93.92</v>
      </c>
      <c r="AE57" s="220">
        <f>IF('2025Sep1-2025Sep30CustomUnified'!$C57="order",'2025Sep1-2025Sep30CustomUnified'!$O57,0)</f>
        <v>110.49</v>
      </c>
      <c r="AF57" s="220">
        <f>IF('2025Sep1-2025Sep30CustomUnified'!$C57="refund",'2025Sep1-2025Sep30CustomUnified'!$O57,0)</f>
        <v>0</v>
      </c>
      <c r="AG57" s="220">
        <f>SUM('2025Sep1-2025Sep30CustomUnified'!$AE57:$AF57)</f>
        <v>110.49</v>
      </c>
      <c r="AH57" s="220">
        <f>IF('2025Sep1-2025Sep30CustomUnified'!$C57="order",'2025Sep1-2025Sep30CustomUnified'!$G57,0)</f>
        <v>1</v>
      </c>
      <c r="AI57" s="220">
        <f>IF('2025Sep1-2025Sep30CustomUnified'!$C57="refund",-'2025Sep1-2025Sep30CustomUnified'!$G57,0)</f>
        <v>0</v>
      </c>
      <c r="AJ57" s="220">
        <f>SUM('2025Sep1-2025Sep30CustomUnified'!$AH57:$AI57)</f>
        <v>1</v>
      </c>
      <c r="AK57" s="220">
        <f>'2025Sep1-2025Sep30CustomUnified'!$Z57</f>
        <v>-16.57</v>
      </c>
      <c r="AL57" s="220">
        <f>'2025Sep1-2025Sep30CustomUnified'!$AA57+'2025Sep1-2025Sep30CustomUnified'!$W57+'2025Sep1-2025Sep30CustomUnified'!$U57+'2025Sep1-2025Sep30CustomUnified'!$S57+'2025Sep1-2025Sep30CustomUnified'!$Q57</f>
        <v>0</v>
      </c>
      <c r="AM57" s="220">
        <f>SUM('2025Sep1-2025Sep30CustomUnified'!$AB57:$AC57)</f>
        <v>0</v>
      </c>
      <c r="AN57" s="220">
        <f>SUM('2025Sep1-2025Sep30CustomUnified'!$AK57:$AM57)</f>
        <v>-16.57</v>
      </c>
      <c r="AO57" s="220">
        <f>'2025Sep1-2025Sep30CustomUnified'!$AG57+'2025Sep1-2025Sep30CustomUnified'!$AN57</f>
        <v>93.92</v>
      </c>
    </row>
    <row r="58" ht="15.75" customHeight="1">
      <c r="A58" s="220" t="s">
        <v>628</v>
      </c>
      <c r="B58" s="220">
        <v>2.4450080321E10</v>
      </c>
      <c r="C58" s="220" t="s">
        <v>443</v>
      </c>
      <c r="D58" s="220" t="s">
        <v>629</v>
      </c>
      <c r="E58" s="220" t="s">
        <v>225</v>
      </c>
      <c r="F58" s="220" t="s">
        <v>468</v>
      </c>
      <c r="G58" s="220">
        <v>1.0</v>
      </c>
      <c r="H58" s="220" t="s">
        <v>446</v>
      </c>
      <c r="I58" s="220" t="s">
        <v>447</v>
      </c>
      <c r="J58" s="220" t="s">
        <v>448</v>
      </c>
      <c r="K58" s="220" t="s">
        <v>554</v>
      </c>
      <c r="L58" s="220" t="s">
        <v>460</v>
      </c>
      <c r="M58" s="220">
        <v>10005.0</v>
      </c>
      <c r="N58" s="220" t="s">
        <v>451</v>
      </c>
      <c r="O58" s="220">
        <v>121.79</v>
      </c>
      <c r="P58" s="220">
        <v>10.81</v>
      </c>
      <c r="Q58" s="220">
        <v>0.0</v>
      </c>
      <c r="R58" s="220">
        <v>0.0</v>
      </c>
      <c r="S58" s="220">
        <v>0.0</v>
      </c>
      <c r="T58" s="220">
        <v>0.0</v>
      </c>
      <c r="U58" s="220">
        <v>0.0</v>
      </c>
      <c r="V58" s="220">
        <v>0.0</v>
      </c>
      <c r="W58" s="220">
        <v>0.0</v>
      </c>
      <c r="X58" s="220">
        <v>0.0</v>
      </c>
      <c r="Y58" s="220">
        <v>-10.81</v>
      </c>
      <c r="Z58" s="220">
        <v>-18.27</v>
      </c>
      <c r="AA58" s="220">
        <v>-25.95</v>
      </c>
      <c r="AB58" s="220">
        <v>0.0</v>
      </c>
      <c r="AC58" s="220">
        <v>0.0</v>
      </c>
      <c r="AD58" s="220">
        <v>77.57</v>
      </c>
      <c r="AE58" s="220">
        <f>IF('2025Sep1-2025Sep30CustomUnified'!$C58="order",'2025Sep1-2025Sep30CustomUnified'!$O58,0)</f>
        <v>121.79</v>
      </c>
      <c r="AF58" s="220">
        <f>IF('2025Sep1-2025Sep30CustomUnified'!$C58="refund",'2025Sep1-2025Sep30CustomUnified'!$O58,0)</f>
        <v>0</v>
      </c>
      <c r="AG58" s="220">
        <f>SUM('2025Sep1-2025Sep30CustomUnified'!$AE58:$AF58)</f>
        <v>121.79</v>
      </c>
      <c r="AH58" s="220">
        <f>IF('2025Sep1-2025Sep30CustomUnified'!$C58="order",'2025Sep1-2025Sep30CustomUnified'!$G58,0)</f>
        <v>1</v>
      </c>
      <c r="AI58" s="220">
        <f>IF('2025Sep1-2025Sep30CustomUnified'!$C58="refund",-'2025Sep1-2025Sep30CustomUnified'!$G58,0)</f>
        <v>0</v>
      </c>
      <c r="AJ58" s="220">
        <f>SUM('2025Sep1-2025Sep30CustomUnified'!$AH58:$AI58)</f>
        <v>1</v>
      </c>
      <c r="AK58" s="220">
        <f>'2025Sep1-2025Sep30CustomUnified'!$Z58</f>
        <v>-18.27</v>
      </c>
      <c r="AL58" s="220">
        <f>'2025Sep1-2025Sep30CustomUnified'!$AA58+'2025Sep1-2025Sep30CustomUnified'!$W58+'2025Sep1-2025Sep30CustomUnified'!$U58+'2025Sep1-2025Sep30CustomUnified'!$S58+'2025Sep1-2025Sep30CustomUnified'!$Q58</f>
        <v>-25.95</v>
      </c>
      <c r="AM58" s="220">
        <f>SUM('2025Sep1-2025Sep30CustomUnified'!$AB58:$AC58)</f>
        <v>0</v>
      </c>
      <c r="AN58" s="220">
        <f>SUM('2025Sep1-2025Sep30CustomUnified'!$AK58:$AM58)</f>
        <v>-44.22</v>
      </c>
      <c r="AO58" s="220">
        <f>'2025Sep1-2025Sep30CustomUnified'!$AG58+'2025Sep1-2025Sep30CustomUnified'!$AN58</f>
        <v>77.57</v>
      </c>
    </row>
    <row r="59" ht="15.75" hidden="1" customHeight="1">
      <c r="A59" s="220" t="s">
        <v>630</v>
      </c>
      <c r="B59" s="220">
        <v>2.4450080321E10</v>
      </c>
      <c r="C59" s="220" t="s">
        <v>443</v>
      </c>
      <c r="D59" s="220" t="s">
        <v>631</v>
      </c>
      <c r="E59" s="220" t="s">
        <v>224</v>
      </c>
      <c r="F59" s="220" t="s">
        <v>495</v>
      </c>
      <c r="G59" s="220">
        <v>1.0</v>
      </c>
      <c r="H59" s="220" t="s">
        <v>446</v>
      </c>
      <c r="I59" s="220" t="s">
        <v>447</v>
      </c>
      <c r="J59" s="220" t="s">
        <v>448</v>
      </c>
      <c r="K59" s="220" t="s">
        <v>632</v>
      </c>
      <c r="L59" s="220" t="s">
        <v>475</v>
      </c>
      <c r="M59" s="220">
        <v>33198.0</v>
      </c>
      <c r="N59" s="220" t="s">
        <v>451</v>
      </c>
      <c r="O59" s="220">
        <v>110.49</v>
      </c>
      <c r="P59" s="220">
        <v>0.0</v>
      </c>
      <c r="Q59" s="220">
        <v>0.0</v>
      </c>
      <c r="R59" s="220">
        <v>0.0</v>
      </c>
      <c r="S59" s="220">
        <v>0.0</v>
      </c>
      <c r="T59" s="220">
        <v>0.0</v>
      </c>
      <c r="U59" s="220">
        <v>0.0</v>
      </c>
      <c r="V59" s="220">
        <v>0.0</v>
      </c>
      <c r="W59" s="220">
        <v>0.0</v>
      </c>
      <c r="X59" s="220">
        <v>0.0</v>
      </c>
      <c r="Y59" s="220">
        <v>0.0</v>
      </c>
      <c r="Z59" s="220">
        <v>-16.57</v>
      </c>
      <c r="AA59" s="220">
        <v>-16.45</v>
      </c>
      <c r="AB59" s="220">
        <v>0.0</v>
      </c>
      <c r="AC59" s="220">
        <v>0.0</v>
      </c>
      <c r="AD59" s="220">
        <v>77.47</v>
      </c>
      <c r="AE59" s="220">
        <f>IF('2025Sep1-2025Sep30CustomUnified'!$C59="order",'2025Sep1-2025Sep30CustomUnified'!$O59,0)</f>
        <v>110.49</v>
      </c>
      <c r="AF59" s="220">
        <f>IF('2025Sep1-2025Sep30CustomUnified'!$C59="refund",'2025Sep1-2025Sep30CustomUnified'!$O59,0)</f>
        <v>0</v>
      </c>
      <c r="AG59" s="220">
        <f>SUM('2025Sep1-2025Sep30CustomUnified'!$AE59:$AF59)</f>
        <v>110.49</v>
      </c>
      <c r="AH59" s="220">
        <f>IF('2025Sep1-2025Sep30CustomUnified'!$C59="order",'2025Sep1-2025Sep30CustomUnified'!$G59,0)</f>
        <v>1</v>
      </c>
      <c r="AI59" s="220">
        <f>IF('2025Sep1-2025Sep30CustomUnified'!$C59="refund",-'2025Sep1-2025Sep30CustomUnified'!$G59,0)</f>
        <v>0</v>
      </c>
      <c r="AJ59" s="220">
        <f>SUM('2025Sep1-2025Sep30CustomUnified'!$AH59:$AI59)</f>
        <v>1</v>
      </c>
      <c r="AK59" s="220">
        <f>'2025Sep1-2025Sep30CustomUnified'!$Z59</f>
        <v>-16.57</v>
      </c>
      <c r="AL59" s="220">
        <f>'2025Sep1-2025Sep30CustomUnified'!$AA59+'2025Sep1-2025Sep30CustomUnified'!$W59+'2025Sep1-2025Sep30CustomUnified'!$U59+'2025Sep1-2025Sep30CustomUnified'!$S59+'2025Sep1-2025Sep30CustomUnified'!$Q59</f>
        <v>-16.45</v>
      </c>
      <c r="AM59" s="220">
        <f>SUM('2025Sep1-2025Sep30CustomUnified'!$AB59:$AC59)</f>
        <v>0</v>
      </c>
      <c r="AN59" s="220">
        <f>SUM('2025Sep1-2025Sep30CustomUnified'!$AK59:$AM59)</f>
        <v>-33.02</v>
      </c>
      <c r="AO59" s="220">
        <f>'2025Sep1-2025Sep30CustomUnified'!$AG59+'2025Sep1-2025Sep30CustomUnified'!$AN59</f>
        <v>77.47</v>
      </c>
    </row>
    <row r="60" ht="15.75" hidden="1" customHeight="1">
      <c r="A60" s="220" t="s">
        <v>633</v>
      </c>
      <c r="B60" s="220">
        <v>2.4450080321E10</v>
      </c>
      <c r="C60" s="220" t="s">
        <v>466</v>
      </c>
      <c r="D60" s="220" t="s">
        <v>556</v>
      </c>
      <c r="E60" s="220" t="s">
        <v>396</v>
      </c>
      <c r="F60" s="220" t="s">
        <v>557</v>
      </c>
      <c r="G60" s="220">
        <v>1.0</v>
      </c>
      <c r="H60" s="220" t="s">
        <v>446</v>
      </c>
      <c r="I60" s="220" t="s">
        <v>447</v>
      </c>
      <c r="J60" s="220" t="s">
        <v>448</v>
      </c>
      <c r="K60" s="220" t="s">
        <v>558</v>
      </c>
      <c r="L60" s="220" t="s">
        <v>455</v>
      </c>
      <c r="M60" s="220">
        <v>92131.0</v>
      </c>
      <c r="N60" s="220" t="s">
        <v>451</v>
      </c>
      <c r="O60" s="220">
        <v>-179.99</v>
      </c>
      <c r="P60" s="220">
        <v>-13.25</v>
      </c>
      <c r="Q60" s="220">
        <v>0.0</v>
      </c>
      <c r="R60" s="220">
        <v>0.0</v>
      </c>
      <c r="S60" s="220">
        <v>0.0</v>
      </c>
      <c r="T60" s="220">
        <v>0.0</v>
      </c>
      <c r="U60" s="220">
        <v>0.0</v>
      </c>
      <c r="V60" s="220">
        <v>0.0</v>
      </c>
      <c r="W60" s="220">
        <v>9.0</v>
      </c>
      <c r="X60" s="220">
        <v>0.0</v>
      </c>
      <c r="Y60" s="220">
        <v>13.25</v>
      </c>
      <c r="Z60" s="220">
        <v>20.65</v>
      </c>
      <c r="AA60" s="220">
        <v>0.0</v>
      </c>
      <c r="AB60" s="220">
        <v>0.0</v>
      </c>
      <c r="AC60" s="220">
        <v>0.0</v>
      </c>
      <c r="AD60" s="220">
        <v>-150.34</v>
      </c>
      <c r="AE60" s="220">
        <f>IF('2025Sep1-2025Sep30CustomUnified'!$C60="order",'2025Sep1-2025Sep30CustomUnified'!$O60,0)</f>
        <v>0</v>
      </c>
      <c r="AF60" s="220">
        <f>IF('2025Sep1-2025Sep30CustomUnified'!$C60="refund",'2025Sep1-2025Sep30CustomUnified'!$O60,0)</f>
        <v>-179.99</v>
      </c>
      <c r="AG60" s="220">
        <f>SUM('2025Sep1-2025Sep30CustomUnified'!$AE60:$AF60)</f>
        <v>-179.99</v>
      </c>
      <c r="AH60" s="220">
        <f>IF('2025Sep1-2025Sep30CustomUnified'!$C60="order",'2025Sep1-2025Sep30CustomUnified'!$G60,0)</f>
        <v>0</v>
      </c>
      <c r="AI60" s="220">
        <f>IF('2025Sep1-2025Sep30CustomUnified'!$C60="refund",-'2025Sep1-2025Sep30CustomUnified'!$G60,0)</f>
        <v>-1</v>
      </c>
      <c r="AJ60" s="220">
        <f>SUM('2025Sep1-2025Sep30CustomUnified'!$AH60:$AI60)</f>
        <v>-1</v>
      </c>
      <c r="AK60" s="220">
        <f>'2025Sep1-2025Sep30CustomUnified'!$Z60</f>
        <v>20.65</v>
      </c>
      <c r="AL60" s="220">
        <f>'2025Sep1-2025Sep30CustomUnified'!$AA60+'2025Sep1-2025Sep30CustomUnified'!$W60+'2025Sep1-2025Sep30CustomUnified'!$U60+'2025Sep1-2025Sep30CustomUnified'!$S60+'2025Sep1-2025Sep30CustomUnified'!$Q60</f>
        <v>9</v>
      </c>
      <c r="AM60" s="220">
        <f>SUM('2025Sep1-2025Sep30CustomUnified'!$AB60:$AC60)</f>
        <v>0</v>
      </c>
      <c r="AN60" s="220">
        <f>SUM('2025Sep1-2025Sep30CustomUnified'!$AK60:$AM60)</f>
        <v>29.65</v>
      </c>
      <c r="AO60" s="220">
        <f>'2025Sep1-2025Sep30CustomUnified'!$AG60+'2025Sep1-2025Sep30CustomUnified'!$AN60</f>
        <v>-150.34</v>
      </c>
    </row>
    <row r="61" ht="15.75" hidden="1" customHeight="1">
      <c r="A61" s="220" t="s">
        <v>634</v>
      </c>
      <c r="B61" s="220">
        <v>2.4450080321E10</v>
      </c>
      <c r="C61" s="220" t="s">
        <v>466</v>
      </c>
      <c r="D61" s="220" t="s">
        <v>566</v>
      </c>
      <c r="E61" s="220" t="s">
        <v>229</v>
      </c>
      <c r="F61" s="220" t="s">
        <v>501</v>
      </c>
      <c r="G61" s="220">
        <v>1.0</v>
      </c>
      <c r="H61" s="220" t="s">
        <v>446</v>
      </c>
      <c r="I61" s="220" t="s">
        <v>447</v>
      </c>
      <c r="J61" s="220" t="s">
        <v>448</v>
      </c>
      <c r="K61" s="220" t="s">
        <v>567</v>
      </c>
      <c r="L61" s="220" t="s">
        <v>568</v>
      </c>
      <c r="M61" s="220">
        <v>15401.0</v>
      </c>
      <c r="N61" s="220" t="s">
        <v>451</v>
      </c>
      <c r="O61" s="220">
        <v>-94.99</v>
      </c>
      <c r="P61" s="220">
        <v>-5.7</v>
      </c>
      <c r="Q61" s="220">
        <v>0.0</v>
      </c>
      <c r="R61" s="220">
        <v>0.0</v>
      </c>
      <c r="S61" s="220">
        <v>0.0</v>
      </c>
      <c r="T61" s="220">
        <v>0.0</v>
      </c>
      <c r="U61" s="220">
        <v>0.0</v>
      </c>
      <c r="V61" s="220">
        <v>0.0</v>
      </c>
      <c r="W61" s="220">
        <v>0.0</v>
      </c>
      <c r="X61" s="220">
        <v>0.0</v>
      </c>
      <c r="Y61" s="220">
        <v>5.7</v>
      </c>
      <c r="Z61" s="220">
        <v>11.4</v>
      </c>
      <c r="AA61" s="220">
        <v>0.0</v>
      </c>
      <c r="AB61" s="220">
        <v>0.0</v>
      </c>
      <c r="AC61" s="220">
        <v>0.0</v>
      </c>
      <c r="AD61" s="220">
        <v>-83.59</v>
      </c>
      <c r="AE61" s="220">
        <f>IF('2025Sep1-2025Sep30CustomUnified'!$C61="order",'2025Sep1-2025Sep30CustomUnified'!$O61,0)</f>
        <v>0</v>
      </c>
      <c r="AF61" s="220">
        <f>IF('2025Sep1-2025Sep30CustomUnified'!$C61="refund",'2025Sep1-2025Sep30CustomUnified'!$O61,0)</f>
        <v>-94.99</v>
      </c>
      <c r="AG61" s="220">
        <f>SUM('2025Sep1-2025Sep30CustomUnified'!$AE61:$AF61)</f>
        <v>-94.99</v>
      </c>
      <c r="AH61" s="220">
        <f>IF('2025Sep1-2025Sep30CustomUnified'!$C61="order",'2025Sep1-2025Sep30CustomUnified'!$G61,0)</f>
        <v>0</v>
      </c>
      <c r="AI61" s="220">
        <f>IF('2025Sep1-2025Sep30CustomUnified'!$C61="refund",-'2025Sep1-2025Sep30CustomUnified'!$G61,0)</f>
        <v>-1</v>
      </c>
      <c r="AJ61" s="220">
        <f>SUM('2025Sep1-2025Sep30CustomUnified'!$AH61:$AI61)</f>
        <v>-1</v>
      </c>
      <c r="AK61" s="220">
        <f>'2025Sep1-2025Sep30CustomUnified'!$Z61</f>
        <v>11.4</v>
      </c>
      <c r="AL61" s="220">
        <f>'2025Sep1-2025Sep30CustomUnified'!$AA61+'2025Sep1-2025Sep30CustomUnified'!$W61+'2025Sep1-2025Sep30CustomUnified'!$U61+'2025Sep1-2025Sep30CustomUnified'!$S61+'2025Sep1-2025Sep30CustomUnified'!$Q61</f>
        <v>0</v>
      </c>
      <c r="AM61" s="220">
        <f>SUM('2025Sep1-2025Sep30CustomUnified'!$AB61:$AC61)</f>
        <v>0</v>
      </c>
      <c r="AN61" s="220">
        <f>SUM('2025Sep1-2025Sep30CustomUnified'!$AK61:$AM61)</f>
        <v>11.4</v>
      </c>
      <c r="AO61" s="220">
        <f>'2025Sep1-2025Sep30CustomUnified'!$AG61+'2025Sep1-2025Sep30CustomUnified'!$AN61</f>
        <v>-83.59</v>
      </c>
    </row>
    <row r="62" ht="15.75" hidden="1" customHeight="1">
      <c r="A62" s="220" t="s">
        <v>635</v>
      </c>
      <c r="B62" s="220">
        <v>2.4450080321E10</v>
      </c>
      <c r="C62" s="220" t="s">
        <v>443</v>
      </c>
      <c r="D62" s="220" t="s">
        <v>636</v>
      </c>
      <c r="E62" s="220" t="s">
        <v>397</v>
      </c>
      <c r="F62" s="220" t="s">
        <v>637</v>
      </c>
      <c r="G62" s="220">
        <v>1.0</v>
      </c>
      <c r="H62" s="220" t="s">
        <v>446</v>
      </c>
      <c r="I62" s="220" t="s">
        <v>447</v>
      </c>
      <c r="J62" s="220" t="s">
        <v>448</v>
      </c>
      <c r="K62" s="220" t="s">
        <v>638</v>
      </c>
      <c r="L62" s="220" t="s">
        <v>484</v>
      </c>
      <c r="M62" s="220">
        <v>28428.0</v>
      </c>
      <c r="N62" s="220" t="s">
        <v>451</v>
      </c>
      <c r="O62" s="220">
        <v>179.99</v>
      </c>
      <c r="P62" s="220">
        <v>12.6</v>
      </c>
      <c r="Q62" s="220">
        <v>0.0</v>
      </c>
      <c r="R62" s="220">
        <v>0.0</v>
      </c>
      <c r="S62" s="220">
        <v>0.0</v>
      </c>
      <c r="T62" s="220">
        <v>0.0</v>
      </c>
      <c r="U62" s="220">
        <v>0.0</v>
      </c>
      <c r="V62" s="220">
        <v>0.0</v>
      </c>
      <c r="W62" s="220">
        <v>0.0</v>
      </c>
      <c r="X62" s="220">
        <v>0.0</v>
      </c>
      <c r="Y62" s="220">
        <v>-12.6</v>
      </c>
      <c r="Z62" s="220">
        <v>-27.0</v>
      </c>
      <c r="AA62" s="220">
        <v>-21.77</v>
      </c>
      <c r="AB62" s="220">
        <v>0.0</v>
      </c>
      <c r="AC62" s="220">
        <v>0.0</v>
      </c>
      <c r="AD62" s="220">
        <v>131.22</v>
      </c>
      <c r="AE62" s="220">
        <f>IF('2025Sep1-2025Sep30CustomUnified'!$C62="order",'2025Sep1-2025Sep30CustomUnified'!$O62,0)</f>
        <v>179.99</v>
      </c>
      <c r="AF62" s="220">
        <f>IF('2025Sep1-2025Sep30CustomUnified'!$C62="refund",'2025Sep1-2025Sep30CustomUnified'!$O62,0)</f>
        <v>0</v>
      </c>
      <c r="AG62" s="220">
        <f>SUM('2025Sep1-2025Sep30CustomUnified'!$AE62:$AF62)</f>
        <v>179.99</v>
      </c>
      <c r="AH62" s="220">
        <f>IF('2025Sep1-2025Sep30CustomUnified'!$C62="order",'2025Sep1-2025Sep30CustomUnified'!$G62,0)</f>
        <v>1</v>
      </c>
      <c r="AI62" s="220">
        <f>IF('2025Sep1-2025Sep30CustomUnified'!$C62="refund",-'2025Sep1-2025Sep30CustomUnified'!$G62,0)</f>
        <v>0</v>
      </c>
      <c r="AJ62" s="220">
        <f>SUM('2025Sep1-2025Sep30CustomUnified'!$AH62:$AI62)</f>
        <v>1</v>
      </c>
      <c r="AK62" s="220">
        <f>'2025Sep1-2025Sep30CustomUnified'!$Z62</f>
        <v>-27</v>
      </c>
      <c r="AL62" s="220">
        <f>'2025Sep1-2025Sep30CustomUnified'!$AA62+'2025Sep1-2025Sep30CustomUnified'!$W62+'2025Sep1-2025Sep30CustomUnified'!$U62+'2025Sep1-2025Sep30CustomUnified'!$S62+'2025Sep1-2025Sep30CustomUnified'!$Q62</f>
        <v>-21.77</v>
      </c>
      <c r="AM62" s="220">
        <f>SUM('2025Sep1-2025Sep30CustomUnified'!$AB62:$AC62)</f>
        <v>0</v>
      </c>
      <c r="AN62" s="220">
        <f>SUM('2025Sep1-2025Sep30CustomUnified'!$AK62:$AM62)</f>
        <v>-48.77</v>
      </c>
      <c r="AO62" s="220">
        <f>'2025Sep1-2025Sep30CustomUnified'!$AG62+'2025Sep1-2025Sep30CustomUnified'!$AN62</f>
        <v>131.22</v>
      </c>
    </row>
    <row r="63" ht="15.75" hidden="1" customHeight="1">
      <c r="A63" s="220" t="s">
        <v>639</v>
      </c>
      <c r="B63" s="220">
        <v>2.4450080321E10</v>
      </c>
      <c r="C63" s="220" t="s">
        <v>443</v>
      </c>
      <c r="D63" s="220" t="s">
        <v>640</v>
      </c>
      <c r="E63" s="220" t="s">
        <v>392</v>
      </c>
      <c r="F63" s="220" t="s">
        <v>458</v>
      </c>
      <c r="G63" s="220">
        <v>1.0</v>
      </c>
      <c r="H63" s="220" t="s">
        <v>446</v>
      </c>
      <c r="I63" s="220" t="s">
        <v>447</v>
      </c>
      <c r="J63" s="220" t="s">
        <v>488</v>
      </c>
      <c r="K63" s="220" t="s">
        <v>641</v>
      </c>
      <c r="L63" s="220" t="s">
        <v>642</v>
      </c>
      <c r="M63" s="220">
        <v>96817.0</v>
      </c>
      <c r="N63" s="220" t="s">
        <v>451</v>
      </c>
      <c r="O63" s="220">
        <v>218.39</v>
      </c>
      <c r="P63" s="220">
        <v>10.29</v>
      </c>
      <c r="Q63" s="220">
        <v>42.96</v>
      </c>
      <c r="R63" s="220">
        <v>2.02</v>
      </c>
      <c r="S63" s="220">
        <v>0.0</v>
      </c>
      <c r="T63" s="220">
        <v>0.0</v>
      </c>
      <c r="U63" s="220">
        <v>0.0</v>
      </c>
      <c r="V63" s="220">
        <v>0.0</v>
      </c>
      <c r="W63" s="220">
        <v>0.0</v>
      </c>
      <c r="X63" s="220">
        <v>0.0</v>
      </c>
      <c r="Y63" s="220">
        <v>-12.31</v>
      </c>
      <c r="Z63" s="220">
        <v>-36.14</v>
      </c>
      <c r="AA63" s="220">
        <v>0.0</v>
      </c>
      <c r="AB63" s="220">
        <v>-0.05</v>
      </c>
      <c r="AC63" s="220">
        <v>0.0</v>
      </c>
      <c r="AD63" s="220">
        <v>225.16</v>
      </c>
      <c r="AE63" s="220">
        <f>IF('2025Sep1-2025Sep30CustomUnified'!$C63="order",'2025Sep1-2025Sep30CustomUnified'!$O63,0)</f>
        <v>218.39</v>
      </c>
      <c r="AF63" s="220">
        <f>IF('2025Sep1-2025Sep30CustomUnified'!$C63="refund",'2025Sep1-2025Sep30CustomUnified'!$O63,0)</f>
        <v>0</v>
      </c>
      <c r="AG63" s="220">
        <f>SUM('2025Sep1-2025Sep30CustomUnified'!$AE63:$AF63)</f>
        <v>218.39</v>
      </c>
      <c r="AH63" s="220">
        <f>IF('2025Sep1-2025Sep30CustomUnified'!$C63="order",'2025Sep1-2025Sep30CustomUnified'!$G63,0)</f>
        <v>1</v>
      </c>
      <c r="AI63" s="220">
        <f>IF('2025Sep1-2025Sep30CustomUnified'!$C63="refund",-'2025Sep1-2025Sep30CustomUnified'!$G63,0)</f>
        <v>0</v>
      </c>
      <c r="AJ63" s="220">
        <f>SUM('2025Sep1-2025Sep30CustomUnified'!$AH63:$AI63)</f>
        <v>1</v>
      </c>
      <c r="AK63" s="220">
        <f>'2025Sep1-2025Sep30CustomUnified'!$Z63</f>
        <v>-36.14</v>
      </c>
      <c r="AL63" s="220">
        <f>'2025Sep1-2025Sep30CustomUnified'!$AA63+'2025Sep1-2025Sep30CustomUnified'!$W63+'2025Sep1-2025Sep30CustomUnified'!$U63+'2025Sep1-2025Sep30CustomUnified'!$S63+'2025Sep1-2025Sep30CustomUnified'!$Q63</f>
        <v>42.96</v>
      </c>
      <c r="AM63" s="220">
        <f>SUM('2025Sep1-2025Sep30CustomUnified'!$AB63:$AC63)</f>
        <v>-0.05</v>
      </c>
      <c r="AN63" s="220">
        <f>SUM('2025Sep1-2025Sep30CustomUnified'!$AK63:$AM63)</f>
        <v>6.77</v>
      </c>
      <c r="AO63" s="220">
        <f>'2025Sep1-2025Sep30CustomUnified'!$AG63+'2025Sep1-2025Sep30CustomUnified'!$AN63</f>
        <v>225.16</v>
      </c>
    </row>
    <row r="64" ht="15.75" hidden="1" customHeight="1">
      <c r="A64" s="220" t="s">
        <v>643</v>
      </c>
      <c r="B64" s="220">
        <v>2.4450080321E10</v>
      </c>
      <c r="C64" s="220" t="s">
        <v>443</v>
      </c>
      <c r="D64" s="220" t="s">
        <v>636</v>
      </c>
      <c r="E64" s="220" t="s">
        <v>397</v>
      </c>
      <c r="F64" s="220" t="s">
        <v>637</v>
      </c>
      <c r="G64" s="220">
        <v>1.0</v>
      </c>
      <c r="H64" s="220" t="s">
        <v>446</v>
      </c>
      <c r="I64" s="220" t="s">
        <v>447</v>
      </c>
      <c r="J64" s="220" t="s">
        <v>448</v>
      </c>
      <c r="K64" s="220" t="s">
        <v>638</v>
      </c>
      <c r="L64" s="220" t="s">
        <v>484</v>
      </c>
      <c r="M64" s="220">
        <v>28428.0</v>
      </c>
      <c r="N64" s="220" t="s">
        <v>451</v>
      </c>
      <c r="O64" s="220">
        <v>179.99</v>
      </c>
      <c r="P64" s="220">
        <v>12.6</v>
      </c>
      <c r="Q64" s="220">
        <v>0.0</v>
      </c>
      <c r="R64" s="220">
        <v>0.0</v>
      </c>
      <c r="S64" s="220">
        <v>0.0</v>
      </c>
      <c r="T64" s="220">
        <v>0.0</v>
      </c>
      <c r="U64" s="220">
        <v>0.0</v>
      </c>
      <c r="V64" s="220">
        <v>0.0</v>
      </c>
      <c r="W64" s="220">
        <v>0.0</v>
      </c>
      <c r="X64" s="220">
        <v>0.0</v>
      </c>
      <c r="Y64" s="220">
        <v>-12.6</v>
      </c>
      <c r="Z64" s="220">
        <v>-27.0</v>
      </c>
      <c r="AA64" s="220">
        <v>-21.77</v>
      </c>
      <c r="AB64" s="220">
        <v>0.0</v>
      </c>
      <c r="AC64" s="220">
        <v>0.0</v>
      </c>
      <c r="AD64" s="220">
        <v>131.22</v>
      </c>
      <c r="AE64" s="220">
        <f>IF('2025Sep1-2025Sep30CustomUnified'!$C64="order",'2025Sep1-2025Sep30CustomUnified'!$O64,0)</f>
        <v>179.99</v>
      </c>
      <c r="AF64" s="220">
        <f>IF('2025Sep1-2025Sep30CustomUnified'!$C64="refund",'2025Sep1-2025Sep30CustomUnified'!$O64,0)</f>
        <v>0</v>
      </c>
      <c r="AG64" s="220">
        <f>SUM('2025Sep1-2025Sep30CustomUnified'!$AE64:$AF64)</f>
        <v>179.99</v>
      </c>
      <c r="AH64" s="220">
        <f>IF('2025Sep1-2025Sep30CustomUnified'!$C64="order",'2025Sep1-2025Sep30CustomUnified'!$G64,0)</f>
        <v>1</v>
      </c>
      <c r="AI64" s="220">
        <f>IF('2025Sep1-2025Sep30CustomUnified'!$C64="refund",-'2025Sep1-2025Sep30CustomUnified'!$G64,0)</f>
        <v>0</v>
      </c>
      <c r="AJ64" s="220">
        <f>SUM('2025Sep1-2025Sep30CustomUnified'!$AH64:$AI64)</f>
        <v>1</v>
      </c>
      <c r="AK64" s="220">
        <f>'2025Sep1-2025Sep30CustomUnified'!$Z64</f>
        <v>-27</v>
      </c>
      <c r="AL64" s="220">
        <f>'2025Sep1-2025Sep30CustomUnified'!$AA64+'2025Sep1-2025Sep30CustomUnified'!$W64+'2025Sep1-2025Sep30CustomUnified'!$U64+'2025Sep1-2025Sep30CustomUnified'!$S64+'2025Sep1-2025Sep30CustomUnified'!$Q64</f>
        <v>-21.77</v>
      </c>
      <c r="AM64" s="220">
        <f>SUM('2025Sep1-2025Sep30CustomUnified'!$AB64:$AC64)</f>
        <v>0</v>
      </c>
      <c r="AN64" s="220">
        <f>SUM('2025Sep1-2025Sep30CustomUnified'!$AK64:$AM64)</f>
        <v>-48.77</v>
      </c>
      <c r="AO64" s="220">
        <f>'2025Sep1-2025Sep30CustomUnified'!$AG64+'2025Sep1-2025Sep30CustomUnified'!$AN64</f>
        <v>131.22</v>
      </c>
    </row>
    <row r="65" ht="15.75" hidden="1" customHeight="1">
      <c r="A65" s="220" t="s">
        <v>644</v>
      </c>
      <c r="B65" s="220">
        <v>2.4450080321E10</v>
      </c>
      <c r="C65" s="220" t="s">
        <v>443</v>
      </c>
      <c r="D65" s="220" t="s">
        <v>636</v>
      </c>
      <c r="E65" s="220" t="s">
        <v>397</v>
      </c>
      <c r="F65" s="220" t="s">
        <v>637</v>
      </c>
      <c r="G65" s="220">
        <v>1.0</v>
      </c>
      <c r="H65" s="220" t="s">
        <v>446</v>
      </c>
      <c r="I65" s="220" t="s">
        <v>447</v>
      </c>
      <c r="J65" s="220" t="s">
        <v>448</v>
      </c>
      <c r="K65" s="220" t="s">
        <v>638</v>
      </c>
      <c r="L65" s="220" t="s">
        <v>484</v>
      </c>
      <c r="M65" s="220">
        <v>28428.0</v>
      </c>
      <c r="N65" s="220" t="s">
        <v>451</v>
      </c>
      <c r="O65" s="220">
        <v>179.99</v>
      </c>
      <c r="P65" s="220">
        <v>12.6</v>
      </c>
      <c r="Q65" s="220">
        <v>0.0</v>
      </c>
      <c r="R65" s="220">
        <v>0.0</v>
      </c>
      <c r="S65" s="220">
        <v>0.0</v>
      </c>
      <c r="T65" s="220">
        <v>0.0</v>
      </c>
      <c r="U65" s="220">
        <v>0.0</v>
      </c>
      <c r="V65" s="220">
        <v>0.0</v>
      </c>
      <c r="W65" s="220">
        <v>0.0</v>
      </c>
      <c r="X65" s="220">
        <v>0.0</v>
      </c>
      <c r="Y65" s="220">
        <v>-12.6</v>
      </c>
      <c r="Z65" s="220">
        <v>-27.0</v>
      </c>
      <c r="AA65" s="220">
        <v>-21.77</v>
      </c>
      <c r="AB65" s="220">
        <v>0.0</v>
      </c>
      <c r="AC65" s="220">
        <v>0.0</v>
      </c>
      <c r="AD65" s="220">
        <v>131.22</v>
      </c>
      <c r="AE65" s="220">
        <f>IF('2025Sep1-2025Sep30CustomUnified'!$C65="order",'2025Sep1-2025Sep30CustomUnified'!$O65,0)</f>
        <v>179.99</v>
      </c>
      <c r="AF65" s="220">
        <f>IF('2025Sep1-2025Sep30CustomUnified'!$C65="refund",'2025Sep1-2025Sep30CustomUnified'!$O65,0)</f>
        <v>0</v>
      </c>
      <c r="AG65" s="220">
        <f>SUM('2025Sep1-2025Sep30CustomUnified'!$AE65:$AF65)</f>
        <v>179.99</v>
      </c>
      <c r="AH65" s="220">
        <f>IF('2025Sep1-2025Sep30CustomUnified'!$C65="order",'2025Sep1-2025Sep30CustomUnified'!$G65,0)</f>
        <v>1</v>
      </c>
      <c r="AI65" s="220">
        <f>IF('2025Sep1-2025Sep30CustomUnified'!$C65="refund",-'2025Sep1-2025Sep30CustomUnified'!$G65,0)</f>
        <v>0</v>
      </c>
      <c r="AJ65" s="220">
        <f>SUM('2025Sep1-2025Sep30CustomUnified'!$AH65:$AI65)</f>
        <v>1</v>
      </c>
      <c r="AK65" s="220">
        <f>'2025Sep1-2025Sep30CustomUnified'!$Z65</f>
        <v>-27</v>
      </c>
      <c r="AL65" s="220">
        <f>'2025Sep1-2025Sep30CustomUnified'!$AA65+'2025Sep1-2025Sep30CustomUnified'!$W65+'2025Sep1-2025Sep30CustomUnified'!$U65+'2025Sep1-2025Sep30CustomUnified'!$S65+'2025Sep1-2025Sep30CustomUnified'!$Q65</f>
        <v>-21.77</v>
      </c>
      <c r="AM65" s="220">
        <f>SUM('2025Sep1-2025Sep30CustomUnified'!$AB65:$AC65)</f>
        <v>0</v>
      </c>
      <c r="AN65" s="220">
        <f>SUM('2025Sep1-2025Sep30CustomUnified'!$AK65:$AM65)</f>
        <v>-48.77</v>
      </c>
      <c r="AO65" s="220">
        <f>'2025Sep1-2025Sep30CustomUnified'!$AG65+'2025Sep1-2025Sep30CustomUnified'!$AN65</f>
        <v>131.22</v>
      </c>
    </row>
    <row r="66" ht="15.75" hidden="1" customHeight="1">
      <c r="A66" s="220" t="s">
        <v>645</v>
      </c>
      <c r="B66" s="220">
        <v>2.4450080321E10</v>
      </c>
      <c r="C66" s="220" t="s">
        <v>443</v>
      </c>
      <c r="D66" s="220" t="s">
        <v>646</v>
      </c>
      <c r="E66" s="220" t="s">
        <v>388</v>
      </c>
      <c r="F66" s="220" t="s">
        <v>647</v>
      </c>
      <c r="G66" s="220">
        <v>1.0</v>
      </c>
      <c r="H66" s="220" t="s">
        <v>446</v>
      </c>
      <c r="I66" s="220" t="s">
        <v>447</v>
      </c>
      <c r="J66" s="220" t="s">
        <v>448</v>
      </c>
      <c r="K66" s="220" t="s">
        <v>648</v>
      </c>
      <c r="L66" s="220" t="s">
        <v>455</v>
      </c>
      <c r="M66" s="220">
        <v>92078.0</v>
      </c>
      <c r="N66" s="220" t="s">
        <v>451</v>
      </c>
      <c r="O66" s="220">
        <v>429.99</v>
      </c>
      <c r="P66" s="220">
        <v>37.62</v>
      </c>
      <c r="Q66" s="220">
        <v>0.0</v>
      </c>
      <c r="R66" s="220">
        <v>0.0</v>
      </c>
      <c r="S66" s="220">
        <v>0.0</v>
      </c>
      <c r="T66" s="220">
        <v>0.0</v>
      </c>
      <c r="U66" s="220">
        <v>0.0</v>
      </c>
      <c r="V66" s="220">
        <v>0.0</v>
      </c>
      <c r="W66" s="220">
        <v>0.0</v>
      </c>
      <c r="X66" s="220">
        <v>0.0</v>
      </c>
      <c r="Y66" s="220">
        <v>-37.62</v>
      </c>
      <c r="Z66" s="220">
        <v>-53.0</v>
      </c>
      <c r="AA66" s="220">
        <v>-53.62</v>
      </c>
      <c r="AB66" s="220">
        <v>0.0</v>
      </c>
      <c r="AC66" s="220">
        <v>0.0</v>
      </c>
      <c r="AD66" s="220">
        <v>323.37</v>
      </c>
      <c r="AE66" s="220">
        <f>IF('2025Sep1-2025Sep30CustomUnified'!$C66="order",'2025Sep1-2025Sep30CustomUnified'!$O66,0)</f>
        <v>429.99</v>
      </c>
      <c r="AF66" s="220">
        <f>IF('2025Sep1-2025Sep30CustomUnified'!$C66="refund",'2025Sep1-2025Sep30CustomUnified'!$O66,0)</f>
        <v>0</v>
      </c>
      <c r="AG66" s="220">
        <f>SUM('2025Sep1-2025Sep30CustomUnified'!$AE66:$AF66)</f>
        <v>429.99</v>
      </c>
      <c r="AH66" s="220">
        <f>IF('2025Sep1-2025Sep30CustomUnified'!$C66="order",'2025Sep1-2025Sep30CustomUnified'!$G66,0)</f>
        <v>1</v>
      </c>
      <c r="AI66" s="220">
        <f>IF('2025Sep1-2025Sep30CustomUnified'!$C66="refund",-'2025Sep1-2025Sep30CustomUnified'!$G66,0)</f>
        <v>0</v>
      </c>
      <c r="AJ66" s="220">
        <f>SUM('2025Sep1-2025Sep30CustomUnified'!$AH66:$AI66)</f>
        <v>1</v>
      </c>
      <c r="AK66" s="220">
        <f>'2025Sep1-2025Sep30CustomUnified'!$Z66</f>
        <v>-53</v>
      </c>
      <c r="AL66" s="220">
        <f>'2025Sep1-2025Sep30CustomUnified'!$AA66+'2025Sep1-2025Sep30CustomUnified'!$W66+'2025Sep1-2025Sep30CustomUnified'!$U66+'2025Sep1-2025Sep30CustomUnified'!$S66+'2025Sep1-2025Sep30CustomUnified'!$Q66</f>
        <v>-53.62</v>
      </c>
      <c r="AM66" s="220">
        <f>SUM('2025Sep1-2025Sep30CustomUnified'!$AB66:$AC66)</f>
        <v>0</v>
      </c>
      <c r="AN66" s="220">
        <f>SUM('2025Sep1-2025Sep30CustomUnified'!$AK66:$AM66)</f>
        <v>-106.62</v>
      </c>
      <c r="AO66" s="220">
        <f>'2025Sep1-2025Sep30CustomUnified'!$AG66+'2025Sep1-2025Sep30CustomUnified'!$AN66</f>
        <v>323.37</v>
      </c>
    </row>
    <row r="67" ht="15.75" hidden="1" customHeight="1">
      <c r="A67" s="220" t="s">
        <v>649</v>
      </c>
      <c r="B67" s="220">
        <v>2.4450080321E10</v>
      </c>
      <c r="C67" s="220" t="s">
        <v>443</v>
      </c>
      <c r="D67" s="220" t="s">
        <v>650</v>
      </c>
      <c r="E67" s="220" t="s">
        <v>224</v>
      </c>
      <c r="F67" s="220" t="s">
        <v>495</v>
      </c>
      <c r="G67" s="220">
        <v>1.0</v>
      </c>
      <c r="H67" s="220" t="s">
        <v>446</v>
      </c>
      <c r="I67" s="220" t="s">
        <v>447</v>
      </c>
      <c r="J67" s="220" t="s">
        <v>448</v>
      </c>
      <c r="K67" s="220" t="s">
        <v>627</v>
      </c>
      <c r="L67" s="220" t="s">
        <v>533</v>
      </c>
      <c r="M67" s="220">
        <v>70586.0</v>
      </c>
      <c r="N67" s="220" t="s">
        <v>451</v>
      </c>
      <c r="O67" s="220">
        <v>110.49</v>
      </c>
      <c r="P67" s="220">
        <v>12.15</v>
      </c>
      <c r="Q67" s="220">
        <v>0.0</v>
      </c>
      <c r="R67" s="220">
        <v>0.0</v>
      </c>
      <c r="S67" s="220">
        <v>0.0</v>
      </c>
      <c r="T67" s="220">
        <v>0.0</v>
      </c>
      <c r="U67" s="220">
        <v>0.0</v>
      </c>
      <c r="V67" s="220">
        <v>0.0</v>
      </c>
      <c r="W67" s="220">
        <v>0.0</v>
      </c>
      <c r="X67" s="220">
        <v>0.0</v>
      </c>
      <c r="Y67" s="220">
        <v>-12.15</v>
      </c>
      <c r="Z67" s="220">
        <v>-16.57</v>
      </c>
      <c r="AA67" s="220">
        <v>0.0</v>
      </c>
      <c r="AB67" s="220">
        <v>0.0</v>
      </c>
      <c r="AC67" s="220">
        <v>0.0</v>
      </c>
      <c r="AD67" s="220">
        <v>93.92</v>
      </c>
      <c r="AE67" s="220">
        <f>IF('2025Sep1-2025Sep30CustomUnified'!$C67="order",'2025Sep1-2025Sep30CustomUnified'!$O67,0)</f>
        <v>110.49</v>
      </c>
      <c r="AF67" s="220">
        <f>IF('2025Sep1-2025Sep30CustomUnified'!$C67="refund",'2025Sep1-2025Sep30CustomUnified'!$O67,0)</f>
        <v>0</v>
      </c>
      <c r="AG67" s="220">
        <f>SUM('2025Sep1-2025Sep30CustomUnified'!$AE67:$AF67)</f>
        <v>110.49</v>
      </c>
      <c r="AH67" s="220">
        <f>IF('2025Sep1-2025Sep30CustomUnified'!$C67="order",'2025Sep1-2025Sep30CustomUnified'!$G67,0)</f>
        <v>1</v>
      </c>
      <c r="AI67" s="220">
        <f>IF('2025Sep1-2025Sep30CustomUnified'!$C67="refund",-'2025Sep1-2025Sep30CustomUnified'!$G67,0)</f>
        <v>0</v>
      </c>
      <c r="AJ67" s="220">
        <f>SUM('2025Sep1-2025Sep30CustomUnified'!$AH67:$AI67)</f>
        <v>1</v>
      </c>
      <c r="AK67" s="220">
        <f>'2025Sep1-2025Sep30CustomUnified'!$Z67</f>
        <v>-16.57</v>
      </c>
      <c r="AL67" s="220">
        <f>'2025Sep1-2025Sep30CustomUnified'!$AA67+'2025Sep1-2025Sep30CustomUnified'!$W67+'2025Sep1-2025Sep30CustomUnified'!$U67+'2025Sep1-2025Sep30CustomUnified'!$S67+'2025Sep1-2025Sep30CustomUnified'!$Q67</f>
        <v>0</v>
      </c>
      <c r="AM67" s="220">
        <f>SUM('2025Sep1-2025Sep30CustomUnified'!$AB67:$AC67)</f>
        <v>0</v>
      </c>
      <c r="AN67" s="220">
        <f>SUM('2025Sep1-2025Sep30CustomUnified'!$AK67:$AM67)</f>
        <v>-16.57</v>
      </c>
      <c r="AO67" s="220">
        <f>'2025Sep1-2025Sep30CustomUnified'!$AG67+'2025Sep1-2025Sep30CustomUnified'!$AN67</f>
        <v>93.92</v>
      </c>
    </row>
    <row r="68" ht="15.75" hidden="1" customHeight="1">
      <c r="A68" s="220" t="s">
        <v>651</v>
      </c>
      <c r="B68" s="220">
        <v>2.4450080321E10</v>
      </c>
      <c r="C68" s="220" t="s">
        <v>443</v>
      </c>
      <c r="D68" s="220" t="s">
        <v>652</v>
      </c>
      <c r="E68" s="220" t="s">
        <v>228</v>
      </c>
      <c r="F68" s="220" t="s">
        <v>458</v>
      </c>
      <c r="G68" s="220">
        <v>1.0</v>
      </c>
      <c r="H68" s="220" t="s">
        <v>446</v>
      </c>
      <c r="I68" s="220" t="s">
        <v>447</v>
      </c>
      <c r="J68" s="220" t="s">
        <v>448</v>
      </c>
      <c r="K68" s="220" t="s">
        <v>554</v>
      </c>
      <c r="L68" s="220" t="s">
        <v>460</v>
      </c>
      <c r="M68" s="220">
        <v>10003.0</v>
      </c>
      <c r="N68" s="220" t="s">
        <v>451</v>
      </c>
      <c r="O68" s="220">
        <v>206.99</v>
      </c>
      <c r="P68" s="220">
        <v>18.37</v>
      </c>
      <c r="Q68" s="220">
        <v>0.0</v>
      </c>
      <c r="R68" s="220">
        <v>0.0</v>
      </c>
      <c r="S68" s="220">
        <v>0.0</v>
      </c>
      <c r="T68" s="220">
        <v>0.0</v>
      </c>
      <c r="U68" s="220">
        <v>0.0</v>
      </c>
      <c r="V68" s="220">
        <v>0.0</v>
      </c>
      <c r="W68" s="220">
        <v>0.0</v>
      </c>
      <c r="X68" s="220">
        <v>0.0</v>
      </c>
      <c r="Y68" s="220">
        <v>-18.37</v>
      </c>
      <c r="Z68" s="220">
        <v>-30.7</v>
      </c>
      <c r="AA68" s="220">
        <v>-21.39</v>
      </c>
      <c r="AB68" s="220">
        <v>0.0</v>
      </c>
      <c r="AC68" s="220">
        <v>0.0</v>
      </c>
      <c r="AD68" s="220">
        <v>154.9</v>
      </c>
      <c r="AE68" s="220">
        <f>IF('2025Sep1-2025Sep30CustomUnified'!$C68="order",'2025Sep1-2025Sep30CustomUnified'!$O68,0)</f>
        <v>206.99</v>
      </c>
      <c r="AF68" s="220">
        <f>IF('2025Sep1-2025Sep30CustomUnified'!$C68="refund",'2025Sep1-2025Sep30CustomUnified'!$O68,0)</f>
        <v>0</v>
      </c>
      <c r="AG68" s="220">
        <f>SUM('2025Sep1-2025Sep30CustomUnified'!$AE68:$AF68)</f>
        <v>206.99</v>
      </c>
      <c r="AH68" s="220">
        <f>IF('2025Sep1-2025Sep30CustomUnified'!$C68="order",'2025Sep1-2025Sep30CustomUnified'!$G68,0)</f>
        <v>1</v>
      </c>
      <c r="AI68" s="220">
        <f>IF('2025Sep1-2025Sep30CustomUnified'!$C68="refund",-'2025Sep1-2025Sep30CustomUnified'!$G68,0)</f>
        <v>0</v>
      </c>
      <c r="AJ68" s="220">
        <f>SUM('2025Sep1-2025Sep30CustomUnified'!$AH68:$AI68)</f>
        <v>1</v>
      </c>
      <c r="AK68" s="220">
        <f>'2025Sep1-2025Sep30CustomUnified'!$Z68</f>
        <v>-30.7</v>
      </c>
      <c r="AL68" s="220">
        <f>'2025Sep1-2025Sep30CustomUnified'!$AA68+'2025Sep1-2025Sep30CustomUnified'!$W68+'2025Sep1-2025Sep30CustomUnified'!$U68+'2025Sep1-2025Sep30CustomUnified'!$S68+'2025Sep1-2025Sep30CustomUnified'!$Q68</f>
        <v>-21.39</v>
      </c>
      <c r="AM68" s="220">
        <f>SUM('2025Sep1-2025Sep30CustomUnified'!$AB68:$AC68)</f>
        <v>0</v>
      </c>
      <c r="AN68" s="220">
        <f>SUM('2025Sep1-2025Sep30CustomUnified'!$AK68:$AM68)</f>
        <v>-52.09</v>
      </c>
      <c r="AO68" s="220">
        <f>'2025Sep1-2025Sep30CustomUnified'!$AG68+'2025Sep1-2025Sep30CustomUnified'!$AN68</f>
        <v>154.9</v>
      </c>
    </row>
    <row r="69" ht="15.75" hidden="1" customHeight="1">
      <c r="A69" s="220" t="s">
        <v>653</v>
      </c>
      <c r="B69" s="220">
        <v>2.4450080321E10</v>
      </c>
      <c r="C69" s="220" t="s">
        <v>443</v>
      </c>
      <c r="D69" s="220" t="s">
        <v>654</v>
      </c>
      <c r="E69" s="220" t="s">
        <v>222</v>
      </c>
      <c r="F69" s="220" t="s">
        <v>445</v>
      </c>
      <c r="G69" s="220">
        <v>1.0</v>
      </c>
      <c r="H69" s="220" t="s">
        <v>446</v>
      </c>
      <c r="I69" s="220" t="s">
        <v>447</v>
      </c>
      <c r="J69" s="220" t="s">
        <v>448</v>
      </c>
      <c r="K69" s="220" t="s">
        <v>655</v>
      </c>
      <c r="L69" s="220" t="s">
        <v>656</v>
      </c>
      <c r="M69" s="220">
        <v>99611.0</v>
      </c>
      <c r="N69" s="220" t="s">
        <v>451</v>
      </c>
      <c r="O69" s="220">
        <v>129.99</v>
      </c>
      <c r="P69" s="220">
        <v>7.8</v>
      </c>
      <c r="Q69" s="220">
        <v>0.0</v>
      </c>
      <c r="R69" s="220">
        <v>0.0</v>
      </c>
      <c r="S69" s="220">
        <v>0.0</v>
      </c>
      <c r="T69" s="220">
        <v>0.0</v>
      </c>
      <c r="U69" s="220">
        <v>0.0</v>
      </c>
      <c r="V69" s="220">
        <v>0.0</v>
      </c>
      <c r="W69" s="220">
        <v>0.0</v>
      </c>
      <c r="X69" s="220">
        <v>0.0</v>
      </c>
      <c r="Y69" s="220">
        <v>-15.6</v>
      </c>
      <c r="Z69" s="220">
        <v>-39.0</v>
      </c>
      <c r="AA69" s="220">
        <v>-16.45</v>
      </c>
      <c r="AB69" s="220">
        <v>0.0</v>
      </c>
      <c r="AC69" s="220">
        <v>0.0</v>
      </c>
      <c r="AD69" s="220">
        <v>66.74</v>
      </c>
      <c r="AE69" s="220">
        <f>IF('2025Sep1-2025Sep30CustomUnified'!$C69="order",'2025Sep1-2025Sep30CustomUnified'!$O69,0)</f>
        <v>129.99</v>
      </c>
      <c r="AF69" s="220">
        <f>IF('2025Sep1-2025Sep30CustomUnified'!$C69="refund",'2025Sep1-2025Sep30CustomUnified'!$O69,0)</f>
        <v>0</v>
      </c>
      <c r="AG69" s="220">
        <f>SUM('2025Sep1-2025Sep30CustomUnified'!$AE69:$AF69)</f>
        <v>129.99</v>
      </c>
      <c r="AH69" s="220">
        <f>IF('2025Sep1-2025Sep30CustomUnified'!$C69="order",'2025Sep1-2025Sep30CustomUnified'!$G69,0)</f>
        <v>1</v>
      </c>
      <c r="AI69" s="220">
        <f>IF('2025Sep1-2025Sep30CustomUnified'!$C69="refund",-'2025Sep1-2025Sep30CustomUnified'!$G69,0)</f>
        <v>0</v>
      </c>
      <c r="AJ69" s="220">
        <f>SUM('2025Sep1-2025Sep30CustomUnified'!$AH69:$AI69)</f>
        <v>1</v>
      </c>
      <c r="AK69" s="220">
        <f>'2025Sep1-2025Sep30CustomUnified'!$Z69</f>
        <v>-39</v>
      </c>
      <c r="AL69" s="220">
        <f>'2025Sep1-2025Sep30CustomUnified'!$AA69+'2025Sep1-2025Sep30CustomUnified'!$W69+'2025Sep1-2025Sep30CustomUnified'!$U69+'2025Sep1-2025Sep30CustomUnified'!$S69+'2025Sep1-2025Sep30CustomUnified'!$Q69</f>
        <v>-16.45</v>
      </c>
      <c r="AM69" s="220">
        <f>SUM('2025Sep1-2025Sep30CustomUnified'!$AB69:$AC69)</f>
        <v>0</v>
      </c>
      <c r="AN69" s="220">
        <f>SUM('2025Sep1-2025Sep30CustomUnified'!$AK69:$AM69)</f>
        <v>-55.45</v>
      </c>
      <c r="AO69" s="220">
        <f>'2025Sep1-2025Sep30CustomUnified'!$AG69+'2025Sep1-2025Sep30CustomUnified'!$AN69</f>
        <v>74.54</v>
      </c>
    </row>
    <row r="70" ht="15.75" hidden="1" customHeight="1">
      <c r="A70" s="220" t="s">
        <v>653</v>
      </c>
      <c r="B70" s="220">
        <v>2.4450080321E10</v>
      </c>
      <c r="C70" s="220" t="s">
        <v>443</v>
      </c>
      <c r="D70" s="220" t="s">
        <v>654</v>
      </c>
      <c r="E70" s="220" t="s">
        <v>222</v>
      </c>
      <c r="F70" s="220" t="s">
        <v>445</v>
      </c>
      <c r="G70" s="220">
        <v>1.0</v>
      </c>
      <c r="H70" s="220" t="s">
        <v>446</v>
      </c>
      <c r="I70" s="220" t="s">
        <v>447</v>
      </c>
      <c r="J70" s="220" t="s">
        <v>448</v>
      </c>
      <c r="K70" s="220" t="s">
        <v>655</v>
      </c>
      <c r="L70" s="220" t="s">
        <v>656</v>
      </c>
      <c r="M70" s="220">
        <v>99611.0</v>
      </c>
      <c r="N70" s="220"/>
      <c r="O70" s="220">
        <v>129.99</v>
      </c>
      <c r="P70" s="220">
        <v>7.8</v>
      </c>
      <c r="Q70" s="220">
        <v>0.0</v>
      </c>
      <c r="R70" s="220">
        <v>0.0</v>
      </c>
      <c r="S70" s="220">
        <v>0.0</v>
      </c>
      <c r="T70" s="220">
        <v>0.0</v>
      </c>
      <c r="U70" s="220">
        <v>0.0</v>
      </c>
      <c r="V70" s="220">
        <v>0.0</v>
      </c>
      <c r="W70" s="220">
        <v>0.0</v>
      </c>
      <c r="X70" s="220">
        <v>0.0</v>
      </c>
      <c r="Y70" s="220">
        <v>0.0</v>
      </c>
      <c r="Z70" s="220">
        <v>0.0</v>
      </c>
      <c r="AA70" s="220">
        <v>-16.45</v>
      </c>
      <c r="AB70" s="220">
        <v>0.0</v>
      </c>
      <c r="AC70" s="220">
        <v>0.0</v>
      </c>
      <c r="AD70" s="220">
        <v>121.34</v>
      </c>
      <c r="AE70" s="220">
        <f>IF('2025Sep1-2025Sep30CustomUnified'!$C70="order",'2025Sep1-2025Sep30CustomUnified'!$O70,0)</f>
        <v>129.99</v>
      </c>
      <c r="AF70" s="220">
        <f>IF('2025Sep1-2025Sep30CustomUnified'!$C70="refund",'2025Sep1-2025Sep30CustomUnified'!$O70,0)</f>
        <v>0</v>
      </c>
      <c r="AG70" s="220">
        <f>SUM('2025Sep1-2025Sep30CustomUnified'!$AE70:$AF70)</f>
        <v>129.99</v>
      </c>
      <c r="AH70" s="220">
        <f>IF('2025Sep1-2025Sep30CustomUnified'!$C70="order",'2025Sep1-2025Sep30CustomUnified'!$G70,0)</f>
        <v>1</v>
      </c>
      <c r="AI70" s="220">
        <f>IF('2025Sep1-2025Sep30CustomUnified'!$C70="refund",-'2025Sep1-2025Sep30CustomUnified'!$G70,0)</f>
        <v>0</v>
      </c>
      <c r="AJ70" s="220">
        <f>SUM('2025Sep1-2025Sep30CustomUnified'!$AH70:$AI70)</f>
        <v>1</v>
      </c>
      <c r="AK70" s="220">
        <f>'2025Sep1-2025Sep30CustomUnified'!$Z70</f>
        <v>0</v>
      </c>
      <c r="AL70" s="220">
        <f>'2025Sep1-2025Sep30CustomUnified'!$AA70+'2025Sep1-2025Sep30CustomUnified'!$W70+'2025Sep1-2025Sep30CustomUnified'!$U70+'2025Sep1-2025Sep30CustomUnified'!$S70+'2025Sep1-2025Sep30CustomUnified'!$Q70</f>
        <v>-16.45</v>
      </c>
      <c r="AM70" s="220">
        <f>SUM('2025Sep1-2025Sep30CustomUnified'!$AB70:$AC70)</f>
        <v>0</v>
      </c>
      <c r="AN70" s="220">
        <f>SUM('2025Sep1-2025Sep30CustomUnified'!$AK70:$AM70)</f>
        <v>-16.45</v>
      </c>
      <c r="AO70" s="220">
        <f>'2025Sep1-2025Sep30CustomUnified'!$AG70+'2025Sep1-2025Sep30CustomUnified'!$AN70</f>
        <v>113.54</v>
      </c>
    </row>
    <row r="71" ht="15.75" hidden="1" customHeight="1">
      <c r="A71" s="220" t="s">
        <v>657</v>
      </c>
      <c r="B71" s="220">
        <v>2.4450080321E10</v>
      </c>
      <c r="C71" s="220" t="s">
        <v>443</v>
      </c>
      <c r="D71" s="220" t="s">
        <v>658</v>
      </c>
      <c r="E71" s="220" t="s">
        <v>229</v>
      </c>
      <c r="F71" s="220" t="s">
        <v>501</v>
      </c>
      <c r="G71" s="220">
        <v>1.0</v>
      </c>
      <c r="H71" s="220" t="s">
        <v>446</v>
      </c>
      <c r="I71" s="220" t="s">
        <v>447</v>
      </c>
      <c r="J71" s="220" t="s">
        <v>448</v>
      </c>
      <c r="K71" s="220" t="s">
        <v>540</v>
      </c>
      <c r="L71" s="220" t="s">
        <v>541</v>
      </c>
      <c r="M71" s="220">
        <v>54952.0</v>
      </c>
      <c r="N71" s="220" t="s">
        <v>451</v>
      </c>
      <c r="O71" s="220">
        <v>85.49</v>
      </c>
      <c r="P71" s="220">
        <v>4.27</v>
      </c>
      <c r="Q71" s="220">
        <v>0.0</v>
      </c>
      <c r="R71" s="220">
        <v>0.0</v>
      </c>
      <c r="S71" s="220">
        <v>0.0</v>
      </c>
      <c r="T71" s="220">
        <v>0.0</v>
      </c>
      <c r="U71" s="220">
        <v>0.0</v>
      </c>
      <c r="V71" s="220">
        <v>0.0</v>
      </c>
      <c r="W71" s="220">
        <v>0.0</v>
      </c>
      <c r="X71" s="220">
        <v>0.0</v>
      </c>
      <c r="Y71" s="220">
        <v>-4.27</v>
      </c>
      <c r="Z71" s="220">
        <v>-12.82</v>
      </c>
      <c r="AA71" s="220">
        <v>0.0</v>
      </c>
      <c r="AB71" s="220">
        <v>0.0</v>
      </c>
      <c r="AC71" s="220">
        <v>0.0</v>
      </c>
      <c r="AD71" s="220">
        <v>72.67</v>
      </c>
      <c r="AE71" s="220">
        <f>IF('2025Sep1-2025Sep30CustomUnified'!$C71="order",'2025Sep1-2025Sep30CustomUnified'!$O71,0)</f>
        <v>85.49</v>
      </c>
      <c r="AF71" s="220">
        <f>IF('2025Sep1-2025Sep30CustomUnified'!$C71="refund",'2025Sep1-2025Sep30CustomUnified'!$O71,0)</f>
        <v>0</v>
      </c>
      <c r="AG71" s="220">
        <f>SUM('2025Sep1-2025Sep30CustomUnified'!$AE71:$AF71)</f>
        <v>85.49</v>
      </c>
      <c r="AH71" s="220">
        <f>IF('2025Sep1-2025Sep30CustomUnified'!$C71="order",'2025Sep1-2025Sep30CustomUnified'!$G71,0)</f>
        <v>1</v>
      </c>
      <c r="AI71" s="220">
        <f>IF('2025Sep1-2025Sep30CustomUnified'!$C71="refund",-'2025Sep1-2025Sep30CustomUnified'!$G71,0)</f>
        <v>0</v>
      </c>
      <c r="AJ71" s="220">
        <f>SUM('2025Sep1-2025Sep30CustomUnified'!$AH71:$AI71)</f>
        <v>1</v>
      </c>
      <c r="AK71" s="220">
        <f>'2025Sep1-2025Sep30CustomUnified'!$Z71</f>
        <v>-12.82</v>
      </c>
      <c r="AL71" s="220">
        <f>'2025Sep1-2025Sep30CustomUnified'!$AA71+'2025Sep1-2025Sep30CustomUnified'!$W71+'2025Sep1-2025Sep30CustomUnified'!$U71+'2025Sep1-2025Sep30CustomUnified'!$S71+'2025Sep1-2025Sep30CustomUnified'!$Q71</f>
        <v>0</v>
      </c>
      <c r="AM71" s="220">
        <f>SUM('2025Sep1-2025Sep30CustomUnified'!$AB71:$AC71)</f>
        <v>0</v>
      </c>
      <c r="AN71" s="220">
        <f>SUM('2025Sep1-2025Sep30CustomUnified'!$AK71:$AM71)</f>
        <v>-12.82</v>
      </c>
      <c r="AO71" s="220">
        <f>'2025Sep1-2025Sep30CustomUnified'!$AG71+'2025Sep1-2025Sep30CustomUnified'!$AN71</f>
        <v>72.67</v>
      </c>
    </row>
    <row r="72" ht="15.75" hidden="1" customHeight="1">
      <c r="A72" s="220" t="s">
        <v>659</v>
      </c>
      <c r="B72" s="220">
        <v>2.4450080321E10</v>
      </c>
      <c r="C72" s="220" t="s">
        <v>443</v>
      </c>
      <c r="D72" s="220" t="s">
        <v>660</v>
      </c>
      <c r="E72" s="220" t="s">
        <v>224</v>
      </c>
      <c r="F72" s="220" t="s">
        <v>495</v>
      </c>
      <c r="G72" s="220">
        <v>1.0</v>
      </c>
      <c r="H72" s="220" t="s">
        <v>446</v>
      </c>
      <c r="I72" s="220" t="s">
        <v>447</v>
      </c>
      <c r="J72" s="220" t="s">
        <v>448</v>
      </c>
      <c r="K72" s="220" t="s">
        <v>661</v>
      </c>
      <c r="L72" s="220" t="s">
        <v>662</v>
      </c>
      <c r="M72" s="221" t="s">
        <v>663</v>
      </c>
      <c r="N72" s="220" t="s">
        <v>451</v>
      </c>
      <c r="O72" s="220">
        <v>110.49</v>
      </c>
      <c r="P72" s="220">
        <v>6.91</v>
      </c>
      <c r="Q72" s="220">
        <v>0.0</v>
      </c>
      <c r="R72" s="220">
        <v>0.0</v>
      </c>
      <c r="S72" s="220">
        <v>0.0</v>
      </c>
      <c r="T72" s="220">
        <v>0.0</v>
      </c>
      <c r="U72" s="220">
        <v>0.0</v>
      </c>
      <c r="V72" s="220">
        <v>0.0</v>
      </c>
      <c r="W72" s="220">
        <v>0.0</v>
      </c>
      <c r="X72" s="220">
        <v>0.0</v>
      </c>
      <c r="Y72" s="220">
        <v>-6.91</v>
      </c>
      <c r="Z72" s="220">
        <v>-16.57</v>
      </c>
      <c r="AA72" s="220">
        <v>0.0</v>
      </c>
      <c r="AB72" s="220">
        <v>0.0</v>
      </c>
      <c r="AC72" s="220">
        <v>0.0</v>
      </c>
      <c r="AD72" s="220">
        <v>93.92</v>
      </c>
      <c r="AE72" s="220">
        <f>IF('2025Sep1-2025Sep30CustomUnified'!$C72="order",'2025Sep1-2025Sep30CustomUnified'!$O72,0)</f>
        <v>110.49</v>
      </c>
      <c r="AF72" s="220">
        <f>IF('2025Sep1-2025Sep30CustomUnified'!$C72="refund",'2025Sep1-2025Sep30CustomUnified'!$O72,0)</f>
        <v>0</v>
      </c>
      <c r="AG72" s="220">
        <f>SUM('2025Sep1-2025Sep30CustomUnified'!$AE72:$AF72)</f>
        <v>110.49</v>
      </c>
      <c r="AH72" s="220">
        <f>IF('2025Sep1-2025Sep30CustomUnified'!$C72="order",'2025Sep1-2025Sep30CustomUnified'!$G72,0)</f>
        <v>1</v>
      </c>
      <c r="AI72" s="220">
        <f>IF('2025Sep1-2025Sep30CustomUnified'!$C72="refund",-'2025Sep1-2025Sep30CustomUnified'!$G72,0)</f>
        <v>0</v>
      </c>
      <c r="AJ72" s="220">
        <f>SUM('2025Sep1-2025Sep30CustomUnified'!$AH72:$AI72)</f>
        <v>1</v>
      </c>
      <c r="AK72" s="220">
        <f>'2025Sep1-2025Sep30CustomUnified'!$Z72</f>
        <v>-16.57</v>
      </c>
      <c r="AL72" s="220">
        <f>'2025Sep1-2025Sep30CustomUnified'!$AA72+'2025Sep1-2025Sep30CustomUnified'!$W72+'2025Sep1-2025Sep30CustomUnified'!$U72+'2025Sep1-2025Sep30CustomUnified'!$S72+'2025Sep1-2025Sep30CustomUnified'!$Q72</f>
        <v>0</v>
      </c>
      <c r="AM72" s="220">
        <f>SUM('2025Sep1-2025Sep30CustomUnified'!$AB72:$AC72)</f>
        <v>0</v>
      </c>
      <c r="AN72" s="220">
        <f>SUM('2025Sep1-2025Sep30CustomUnified'!$AK72:$AM72)</f>
        <v>-16.57</v>
      </c>
      <c r="AO72" s="220">
        <f>'2025Sep1-2025Sep30CustomUnified'!$AG72+'2025Sep1-2025Sep30CustomUnified'!$AN72</f>
        <v>93.92</v>
      </c>
    </row>
    <row r="73" ht="15.75" customHeight="1">
      <c r="A73" s="220" t="s">
        <v>664</v>
      </c>
      <c r="B73" s="220">
        <v>2.4450080321E10</v>
      </c>
      <c r="C73" s="220" t="s">
        <v>443</v>
      </c>
      <c r="D73" s="220" t="s">
        <v>665</v>
      </c>
      <c r="E73" s="220" t="s">
        <v>225</v>
      </c>
      <c r="F73" s="220" t="s">
        <v>468</v>
      </c>
      <c r="G73" s="220">
        <v>1.0</v>
      </c>
      <c r="H73" s="220" t="s">
        <v>446</v>
      </c>
      <c r="I73" s="220" t="s">
        <v>447</v>
      </c>
      <c r="J73" s="220" t="s">
        <v>448</v>
      </c>
      <c r="K73" s="220" t="s">
        <v>554</v>
      </c>
      <c r="L73" s="220" t="s">
        <v>460</v>
      </c>
      <c r="M73" s="220">
        <v>10013.0</v>
      </c>
      <c r="N73" s="220" t="s">
        <v>451</v>
      </c>
      <c r="O73" s="220">
        <v>121.79</v>
      </c>
      <c r="P73" s="220">
        <v>10.81</v>
      </c>
      <c r="Q73" s="220">
        <v>0.0</v>
      </c>
      <c r="R73" s="220">
        <v>0.0</v>
      </c>
      <c r="S73" s="220">
        <v>0.0</v>
      </c>
      <c r="T73" s="220">
        <v>0.0</v>
      </c>
      <c r="U73" s="220">
        <v>0.0</v>
      </c>
      <c r="V73" s="220">
        <v>0.0</v>
      </c>
      <c r="W73" s="220">
        <v>0.0</v>
      </c>
      <c r="X73" s="220">
        <v>0.0</v>
      </c>
      <c r="Y73" s="220">
        <v>-10.81</v>
      </c>
      <c r="Z73" s="220">
        <v>-18.27</v>
      </c>
      <c r="AA73" s="220">
        <v>-25.95</v>
      </c>
      <c r="AB73" s="220">
        <v>0.0</v>
      </c>
      <c r="AC73" s="220">
        <v>0.0</v>
      </c>
      <c r="AD73" s="220">
        <v>77.57</v>
      </c>
      <c r="AE73" s="220">
        <f>IF('2025Sep1-2025Sep30CustomUnified'!$C73="order",'2025Sep1-2025Sep30CustomUnified'!$O73,0)</f>
        <v>121.79</v>
      </c>
      <c r="AF73" s="220">
        <f>IF('2025Sep1-2025Sep30CustomUnified'!$C73="refund",'2025Sep1-2025Sep30CustomUnified'!$O73,0)</f>
        <v>0</v>
      </c>
      <c r="AG73" s="220">
        <f>SUM('2025Sep1-2025Sep30CustomUnified'!$AE73:$AF73)</f>
        <v>121.79</v>
      </c>
      <c r="AH73" s="220">
        <f>IF('2025Sep1-2025Sep30CustomUnified'!$C73="order",'2025Sep1-2025Sep30CustomUnified'!$G73,0)</f>
        <v>1</v>
      </c>
      <c r="AI73" s="220">
        <f>IF('2025Sep1-2025Sep30CustomUnified'!$C73="refund",-'2025Sep1-2025Sep30CustomUnified'!$G73,0)</f>
        <v>0</v>
      </c>
      <c r="AJ73" s="220">
        <f>SUM('2025Sep1-2025Sep30CustomUnified'!$AH73:$AI73)</f>
        <v>1</v>
      </c>
      <c r="AK73" s="220">
        <f>'2025Sep1-2025Sep30CustomUnified'!$Z73</f>
        <v>-18.27</v>
      </c>
      <c r="AL73" s="220">
        <f>'2025Sep1-2025Sep30CustomUnified'!$AA73+'2025Sep1-2025Sep30CustomUnified'!$W73+'2025Sep1-2025Sep30CustomUnified'!$U73+'2025Sep1-2025Sep30CustomUnified'!$S73+'2025Sep1-2025Sep30CustomUnified'!$Q73</f>
        <v>-25.95</v>
      </c>
      <c r="AM73" s="220">
        <f>SUM('2025Sep1-2025Sep30CustomUnified'!$AB73:$AC73)</f>
        <v>0</v>
      </c>
      <c r="AN73" s="220">
        <f>SUM('2025Sep1-2025Sep30CustomUnified'!$AK73:$AM73)</f>
        <v>-44.22</v>
      </c>
      <c r="AO73" s="220">
        <f>'2025Sep1-2025Sep30CustomUnified'!$AG73+'2025Sep1-2025Sep30CustomUnified'!$AN73</f>
        <v>77.57</v>
      </c>
    </row>
    <row r="74" ht="15.75" hidden="1" customHeight="1">
      <c r="A74" s="220" t="s">
        <v>666</v>
      </c>
      <c r="B74" s="220">
        <v>2.4450080321E10</v>
      </c>
      <c r="C74" s="220" t="s">
        <v>443</v>
      </c>
      <c r="D74" s="220" t="s">
        <v>636</v>
      </c>
      <c r="E74" s="220" t="s">
        <v>397</v>
      </c>
      <c r="F74" s="220" t="s">
        <v>637</v>
      </c>
      <c r="G74" s="220">
        <v>1.0</v>
      </c>
      <c r="H74" s="220" t="s">
        <v>446</v>
      </c>
      <c r="I74" s="220" t="s">
        <v>447</v>
      </c>
      <c r="J74" s="220" t="s">
        <v>448</v>
      </c>
      <c r="K74" s="220" t="s">
        <v>638</v>
      </c>
      <c r="L74" s="220" t="s">
        <v>484</v>
      </c>
      <c r="M74" s="220">
        <v>28428.0</v>
      </c>
      <c r="N74" s="220" t="s">
        <v>451</v>
      </c>
      <c r="O74" s="220">
        <v>179.99</v>
      </c>
      <c r="P74" s="220">
        <v>12.6</v>
      </c>
      <c r="Q74" s="220">
        <v>0.0</v>
      </c>
      <c r="R74" s="220">
        <v>0.0</v>
      </c>
      <c r="S74" s="220">
        <v>0.0</v>
      </c>
      <c r="T74" s="220">
        <v>0.0</v>
      </c>
      <c r="U74" s="220">
        <v>0.0</v>
      </c>
      <c r="V74" s="220">
        <v>0.0</v>
      </c>
      <c r="W74" s="220">
        <v>0.0</v>
      </c>
      <c r="X74" s="220">
        <v>0.0</v>
      </c>
      <c r="Y74" s="220">
        <v>-12.6</v>
      </c>
      <c r="Z74" s="220">
        <v>-27.0</v>
      </c>
      <c r="AA74" s="220">
        <v>-21.77</v>
      </c>
      <c r="AB74" s="220">
        <v>0.0</v>
      </c>
      <c r="AC74" s="220">
        <v>0.0</v>
      </c>
      <c r="AD74" s="220">
        <v>131.22</v>
      </c>
      <c r="AE74" s="220">
        <f>IF('2025Sep1-2025Sep30CustomUnified'!$C74="order",'2025Sep1-2025Sep30CustomUnified'!$O74,0)</f>
        <v>179.99</v>
      </c>
      <c r="AF74" s="220">
        <f>IF('2025Sep1-2025Sep30CustomUnified'!$C74="refund",'2025Sep1-2025Sep30CustomUnified'!$O74,0)</f>
        <v>0</v>
      </c>
      <c r="AG74" s="220">
        <f>SUM('2025Sep1-2025Sep30CustomUnified'!$AE74:$AF74)</f>
        <v>179.99</v>
      </c>
      <c r="AH74" s="220">
        <f>IF('2025Sep1-2025Sep30CustomUnified'!$C74="order",'2025Sep1-2025Sep30CustomUnified'!$G74,0)</f>
        <v>1</v>
      </c>
      <c r="AI74" s="220">
        <f>IF('2025Sep1-2025Sep30CustomUnified'!$C74="refund",-'2025Sep1-2025Sep30CustomUnified'!$G74,0)</f>
        <v>0</v>
      </c>
      <c r="AJ74" s="220">
        <f>SUM('2025Sep1-2025Sep30CustomUnified'!$AH74:$AI74)</f>
        <v>1</v>
      </c>
      <c r="AK74" s="220">
        <f>'2025Sep1-2025Sep30CustomUnified'!$Z74</f>
        <v>-27</v>
      </c>
      <c r="AL74" s="220">
        <f>'2025Sep1-2025Sep30CustomUnified'!$AA74+'2025Sep1-2025Sep30CustomUnified'!$W74+'2025Sep1-2025Sep30CustomUnified'!$U74+'2025Sep1-2025Sep30CustomUnified'!$S74+'2025Sep1-2025Sep30CustomUnified'!$Q74</f>
        <v>-21.77</v>
      </c>
      <c r="AM74" s="220">
        <f>SUM('2025Sep1-2025Sep30CustomUnified'!$AB74:$AC74)</f>
        <v>0</v>
      </c>
      <c r="AN74" s="220">
        <f>SUM('2025Sep1-2025Sep30CustomUnified'!$AK74:$AM74)</f>
        <v>-48.77</v>
      </c>
      <c r="AO74" s="220">
        <f>'2025Sep1-2025Sep30CustomUnified'!$AG74+'2025Sep1-2025Sep30CustomUnified'!$AN74</f>
        <v>131.22</v>
      </c>
    </row>
    <row r="75" ht="15.75" hidden="1" customHeight="1">
      <c r="A75" s="220" t="s">
        <v>667</v>
      </c>
      <c r="B75" s="220">
        <v>2.4450080321E10</v>
      </c>
      <c r="C75" s="220" t="s">
        <v>443</v>
      </c>
      <c r="D75" s="220" t="s">
        <v>668</v>
      </c>
      <c r="E75" s="220" t="s">
        <v>227</v>
      </c>
      <c r="F75" s="220" t="s">
        <v>547</v>
      </c>
      <c r="G75" s="220">
        <v>1.0</v>
      </c>
      <c r="H75" s="220" t="s">
        <v>446</v>
      </c>
      <c r="I75" s="220" t="s">
        <v>447</v>
      </c>
      <c r="J75" s="220" t="s">
        <v>448</v>
      </c>
      <c r="K75" s="220" t="s">
        <v>669</v>
      </c>
      <c r="L75" s="220" t="s">
        <v>549</v>
      </c>
      <c r="M75" s="220">
        <v>76092.0</v>
      </c>
      <c r="N75" s="220" t="s">
        <v>451</v>
      </c>
      <c r="O75" s="220">
        <v>118.89</v>
      </c>
      <c r="P75" s="220">
        <v>9.81</v>
      </c>
      <c r="Q75" s="220">
        <v>0.0</v>
      </c>
      <c r="R75" s="220">
        <v>0.0</v>
      </c>
      <c r="S75" s="220">
        <v>0.0</v>
      </c>
      <c r="T75" s="220">
        <v>0.0</v>
      </c>
      <c r="U75" s="220">
        <v>0.0</v>
      </c>
      <c r="V75" s="220">
        <v>0.0</v>
      </c>
      <c r="W75" s="220">
        <v>0.0</v>
      </c>
      <c r="X75" s="220">
        <v>0.0</v>
      </c>
      <c r="Y75" s="220">
        <v>-9.81</v>
      </c>
      <c r="Z75" s="220">
        <v>-17.83</v>
      </c>
      <c r="AA75" s="220">
        <v>-24.43</v>
      </c>
      <c r="AB75" s="220">
        <v>0.0</v>
      </c>
      <c r="AC75" s="220">
        <v>0.0</v>
      </c>
      <c r="AD75" s="220">
        <v>76.63</v>
      </c>
      <c r="AE75" s="220">
        <f>IF('2025Sep1-2025Sep30CustomUnified'!$C75="order",'2025Sep1-2025Sep30CustomUnified'!$O75,0)</f>
        <v>118.89</v>
      </c>
      <c r="AF75" s="220">
        <f>IF('2025Sep1-2025Sep30CustomUnified'!$C75="refund",'2025Sep1-2025Sep30CustomUnified'!$O75,0)</f>
        <v>0</v>
      </c>
      <c r="AG75" s="220">
        <f>SUM('2025Sep1-2025Sep30CustomUnified'!$AE75:$AF75)</f>
        <v>118.89</v>
      </c>
      <c r="AH75" s="220">
        <f>IF('2025Sep1-2025Sep30CustomUnified'!$C75="order",'2025Sep1-2025Sep30CustomUnified'!$G75,0)</f>
        <v>1</v>
      </c>
      <c r="AI75" s="220">
        <f>IF('2025Sep1-2025Sep30CustomUnified'!$C75="refund",-'2025Sep1-2025Sep30CustomUnified'!$G75,0)</f>
        <v>0</v>
      </c>
      <c r="AJ75" s="220">
        <f>SUM('2025Sep1-2025Sep30CustomUnified'!$AH75:$AI75)</f>
        <v>1</v>
      </c>
      <c r="AK75" s="220">
        <f>'2025Sep1-2025Sep30CustomUnified'!$Z75</f>
        <v>-17.83</v>
      </c>
      <c r="AL75" s="220">
        <f>'2025Sep1-2025Sep30CustomUnified'!$AA75+'2025Sep1-2025Sep30CustomUnified'!$W75+'2025Sep1-2025Sep30CustomUnified'!$U75+'2025Sep1-2025Sep30CustomUnified'!$S75+'2025Sep1-2025Sep30CustomUnified'!$Q75</f>
        <v>-24.43</v>
      </c>
      <c r="AM75" s="220">
        <f>SUM('2025Sep1-2025Sep30CustomUnified'!$AB75:$AC75)</f>
        <v>0</v>
      </c>
      <c r="AN75" s="220">
        <f>SUM('2025Sep1-2025Sep30CustomUnified'!$AK75:$AM75)</f>
        <v>-42.26</v>
      </c>
      <c r="AO75" s="220">
        <f>'2025Sep1-2025Sep30CustomUnified'!$AG75+'2025Sep1-2025Sep30CustomUnified'!$AN75</f>
        <v>76.63</v>
      </c>
    </row>
    <row r="76" ht="15.75" hidden="1" customHeight="1">
      <c r="A76" s="220" t="s">
        <v>670</v>
      </c>
      <c r="B76" s="220">
        <v>2.4450080321E10</v>
      </c>
      <c r="C76" s="220" t="s">
        <v>466</v>
      </c>
      <c r="D76" s="220" t="s">
        <v>640</v>
      </c>
      <c r="E76" s="220" t="s">
        <v>392</v>
      </c>
      <c r="F76" s="220" t="s">
        <v>458</v>
      </c>
      <c r="G76" s="220">
        <v>1.0</v>
      </c>
      <c r="H76" s="220" t="s">
        <v>446</v>
      </c>
      <c r="I76" s="220" t="s">
        <v>447</v>
      </c>
      <c r="J76" s="220" t="s">
        <v>488</v>
      </c>
      <c r="K76" s="220" t="s">
        <v>641</v>
      </c>
      <c r="L76" s="220" t="s">
        <v>642</v>
      </c>
      <c r="M76" s="220">
        <v>96817.0</v>
      </c>
      <c r="N76" s="220" t="s">
        <v>451</v>
      </c>
      <c r="O76" s="220">
        <v>-218.39</v>
      </c>
      <c r="P76" s="220">
        <v>-10.29</v>
      </c>
      <c r="Q76" s="220">
        <v>-42.96</v>
      </c>
      <c r="R76" s="220">
        <v>-2.02</v>
      </c>
      <c r="S76" s="220">
        <v>0.0</v>
      </c>
      <c r="T76" s="220">
        <v>0.0</v>
      </c>
      <c r="U76" s="220">
        <v>0.0</v>
      </c>
      <c r="V76" s="220">
        <v>0.0</v>
      </c>
      <c r="W76" s="220">
        <v>0.0</v>
      </c>
      <c r="X76" s="220">
        <v>0.0</v>
      </c>
      <c r="Y76" s="220">
        <v>12.31</v>
      </c>
      <c r="Z76" s="220">
        <v>31.14</v>
      </c>
      <c r="AA76" s="220">
        <v>0.0</v>
      </c>
      <c r="AB76" s="220">
        <v>0.0</v>
      </c>
      <c r="AC76" s="220">
        <v>0.0</v>
      </c>
      <c r="AD76" s="220">
        <v>-230.21</v>
      </c>
      <c r="AE76" s="220">
        <f>IF('2025Sep1-2025Sep30CustomUnified'!$C76="order",'2025Sep1-2025Sep30CustomUnified'!$O76,0)</f>
        <v>0</v>
      </c>
      <c r="AF76" s="220">
        <f>IF('2025Sep1-2025Sep30CustomUnified'!$C76="refund",'2025Sep1-2025Sep30CustomUnified'!$O76,0)</f>
        <v>-218.39</v>
      </c>
      <c r="AG76" s="220">
        <f>SUM('2025Sep1-2025Sep30CustomUnified'!$AE76:$AF76)</f>
        <v>-218.39</v>
      </c>
      <c r="AH76" s="220">
        <f>IF('2025Sep1-2025Sep30CustomUnified'!$C76="order",'2025Sep1-2025Sep30CustomUnified'!$G76,0)</f>
        <v>0</v>
      </c>
      <c r="AI76" s="220">
        <f>IF('2025Sep1-2025Sep30CustomUnified'!$C76="refund",-'2025Sep1-2025Sep30CustomUnified'!$G76,0)</f>
        <v>-1</v>
      </c>
      <c r="AJ76" s="220">
        <f>SUM('2025Sep1-2025Sep30CustomUnified'!$AH76:$AI76)</f>
        <v>-1</v>
      </c>
      <c r="AK76" s="220">
        <f>'2025Sep1-2025Sep30CustomUnified'!$Z76</f>
        <v>31.14</v>
      </c>
      <c r="AL76" s="220">
        <f>'2025Sep1-2025Sep30CustomUnified'!$AA76+'2025Sep1-2025Sep30CustomUnified'!$W76+'2025Sep1-2025Sep30CustomUnified'!$U76+'2025Sep1-2025Sep30CustomUnified'!$S76+'2025Sep1-2025Sep30CustomUnified'!$Q76</f>
        <v>-42.96</v>
      </c>
      <c r="AM76" s="220">
        <f>SUM('2025Sep1-2025Sep30CustomUnified'!$AB76:$AC76)</f>
        <v>0</v>
      </c>
      <c r="AN76" s="220">
        <f>SUM('2025Sep1-2025Sep30CustomUnified'!$AK76:$AM76)</f>
        <v>-11.82</v>
      </c>
      <c r="AO76" s="220">
        <f>'2025Sep1-2025Sep30CustomUnified'!$AG76+'2025Sep1-2025Sep30CustomUnified'!$AN76</f>
        <v>-230.21</v>
      </c>
    </row>
    <row r="77" ht="15.75" customHeight="1">
      <c r="A77" s="220" t="s">
        <v>671</v>
      </c>
      <c r="B77" s="220">
        <v>2.4450080321E10</v>
      </c>
      <c r="C77" s="220" t="s">
        <v>443</v>
      </c>
      <c r="D77" s="220" t="s">
        <v>672</v>
      </c>
      <c r="E77" s="220" t="s">
        <v>225</v>
      </c>
      <c r="F77" s="220" t="s">
        <v>468</v>
      </c>
      <c r="G77" s="220">
        <v>1.0</v>
      </c>
      <c r="H77" s="220" t="s">
        <v>446</v>
      </c>
      <c r="I77" s="220" t="s">
        <v>447</v>
      </c>
      <c r="J77" s="220" t="s">
        <v>448</v>
      </c>
      <c r="K77" s="220" t="s">
        <v>673</v>
      </c>
      <c r="L77" s="220" t="s">
        <v>537</v>
      </c>
      <c r="M77" s="220">
        <v>21701.0</v>
      </c>
      <c r="N77" s="220" t="s">
        <v>451</v>
      </c>
      <c r="O77" s="220">
        <v>121.79</v>
      </c>
      <c r="P77" s="220">
        <v>7.31</v>
      </c>
      <c r="Q77" s="220">
        <v>0.0</v>
      </c>
      <c r="R77" s="220">
        <v>0.0</v>
      </c>
      <c r="S77" s="220">
        <v>0.0</v>
      </c>
      <c r="T77" s="220">
        <v>0.0</v>
      </c>
      <c r="U77" s="220">
        <v>0.0</v>
      </c>
      <c r="V77" s="220">
        <v>0.0</v>
      </c>
      <c r="W77" s="220">
        <v>0.0</v>
      </c>
      <c r="X77" s="220">
        <v>0.0</v>
      </c>
      <c r="Y77" s="220">
        <v>-7.31</v>
      </c>
      <c r="Z77" s="220">
        <v>-18.27</v>
      </c>
      <c r="AA77" s="220">
        <v>-25.95</v>
      </c>
      <c r="AB77" s="220">
        <v>0.0</v>
      </c>
      <c r="AC77" s="220">
        <v>0.0</v>
      </c>
      <c r="AD77" s="220">
        <v>77.57</v>
      </c>
      <c r="AE77" s="220">
        <f>IF('2025Sep1-2025Sep30CustomUnified'!$C77="order",'2025Sep1-2025Sep30CustomUnified'!$O77,0)</f>
        <v>121.79</v>
      </c>
      <c r="AF77" s="220">
        <f>IF('2025Sep1-2025Sep30CustomUnified'!$C77="refund",'2025Sep1-2025Sep30CustomUnified'!$O77,0)</f>
        <v>0</v>
      </c>
      <c r="AG77" s="220">
        <f>SUM('2025Sep1-2025Sep30CustomUnified'!$AE77:$AF77)</f>
        <v>121.79</v>
      </c>
      <c r="AH77" s="220">
        <f>IF('2025Sep1-2025Sep30CustomUnified'!$C77="order",'2025Sep1-2025Sep30CustomUnified'!$G77,0)</f>
        <v>1</v>
      </c>
      <c r="AI77" s="220">
        <f>IF('2025Sep1-2025Sep30CustomUnified'!$C77="refund",-'2025Sep1-2025Sep30CustomUnified'!$G77,0)</f>
        <v>0</v>
      </c>
      <c r="AJ77" s="220">
        <f>SUM('2025Sep1-2025Sep30CustomUnified'!$AH77:$AI77)</f>
        <v>1</v>
      </c>
      <c r="AK77" s="220">
        <f>'2025Sep1-2025Sep30CustomUnified'!$Z77</f>
        <v>-18.27</v>
      </c>
      <c r="AL77" s="220">
        <f>'2025Sep1-2025Sep30CustomUnified'!$AA77+'2025Sep1-2025Sep30CustomUnified'!$W77+'2025Sep1-2025Sep30CustomUnified'!$U77+'2025Sep1-2025Sep30CustomUnified'!$S77+'2025Sep1-2025Sep30CustomUnified'!$Q77</f>
        <v>-25.95</v>
      </c>
      <c r="AM77" s="220">
        <f>SUM('2025Sep1-2025Sep30CustomUnified'!$AB77:$AC77)</f>
        <v>0</v>
      </c>
      <c r="AN77" s="220">
        <f>SUM('2025Sep1-2025Sep30CustomUnified'!$AK77:$AM77)</f>
        <v>-44.22</v>
      </c>
      <c r="AO77" s="220">
        <f>'2025Sep1-2025Sep30CustomUnified'!$AG77+'2025Sep1-2025Sep30CustomUnified'!$AN77</f>
        <v>77.57</v>
      </c>
    </row>
    <row r="78" ht="15.75" hidden="1" customHeight="1">
      <c r="A78" s="220" t="s">
        <v>674</v>
      </c>
      <c r="B78" s="220">
        <v>2.4450080321E10</v>
      </c>
      <c r="C78" s="220" t="s">
        <v>443</v>
      </c>
      <c r="D78" s="220" t="s">
        <v>675</v>
      </c>
      <c r="E78" s="220" t="s">
        <v>224</v>
      </c>
      <c r="F78" s="220" t="s">
        <v>495</v>
      </c>
      <c r="G78" s="220">
        <v>1.0</v>
      </c>
      <c r="H78" s="220" t="s">
        <v>446</v>
      </c>
      <c r="I78" s="220" t="s">
        <v>447</v>
      </c>
      <c r="J78" s="220" t="s">
        <v>448</v>
      </c>
      <c r="K78" s="220" t="s">
        <v>676</v>
      </c>
      <c r="L78" s="220" t="s">
        <v>677</v>
      </c>
      <c r="M78" s="220">
        <v>80923.0</v>
      </c>
      <c r="N78" s="220" t="s">
        <v>451</v>
      </c>
      <c r="O78" s="220">
        <v>110.69</v>
      </c>
      <c r="P78" s="220">
        <v>9.08</v>
      </c>
      <c r="Q78" s="220">
        <v>0.0</v>
      </c>
      <c r="R78" s="220">
        <v>0.0</v>
      </c>
      <c r="S78" s="220">
        <v>0.0</v>
      </c>
      <c r="T78" s="220">
        <v>0.0</v>
      </c>
      <c r="U78" s="220">
        <v>0.0</v>
      </c>
      <c r="V78" s="220">
        <v>0.0</v>
      </c>
      <c r="W78" s="220">
        <v>0.0</v>
      </c>
      <c r="X78" s="220">
        <v>0.0</v>
      </c>
      <c r="Y78" s="220">
        <v>-9.08</v>
      </c>
      <c r="Z78" s="220">
        <v>-16.6</v>
      </c>
      <c r="AA78" s="220">
        <v>0.0</v>
      </c>
      <c r="AB78" s="220">
        <v>0.0</v>
      </c>
      <c r="AC78" s="220">
        <v>0.0</v>
      </c>
      <c r="AD78" s="220">
        <v>94.09</v>
      </c>
      <c r="AE78" s="220">
        <f>IF('2025Sep1-2025Sep30CustomUnified'!$C78="order",'2025Sep1-2025Sep30CustomUnified'!$O78,0)</f>
        <v>110.69</v>
      </c>
      <c r="AF78" s="220">
        <f>IF('2025Sep1-2025Sep30CustomUnified'!$C78="refund",'2025Sep1-2025Sep30CustomUnified'!$O78,0)</f>
        <v>0</v>
      </c>
      <c r="AG78" s="220">
        <f>SUM('2025Sep1-2025Sep30CustomUnified'!$AE78:$AF78)</f>
        <v>110.69</v>
      </c>
      <c r="AH78" s="220">
        <f>IF('2025Sep1-2025Sep30CustomUnified'!$C78="order",'2025Sep1-2025Sep30CustomUnified'!$G78,0)</f>
        <v>1</v>
      </c>
      <c r="AI78" s="220">
        <f>IF('2025Sep1-2025Sep30CustomUnified'!$C78="refund",-'2025Sep1-2025Sep30CustomUnified'!$G78,0)</f>
        <v>0</v>
      </c>
      <c r="AJ78" s="220">
        <f>SUM('2025Sep1-2025Sep30CustomUnified'!$AH78:$AI78)</f>
        <v>1</v>
      </c>
      <c r="AK78" s="220">
        <f>'2025Sep1-2025Sep30CustomUnified'!$Z78</f>
        <v>-16.6</v>
      </c>
      <c r="AL78" s="220">
        <f>'2025Sep1-2025Sep30CustomUnified'!$AA78+'2025Sep1-2025Sep30CustomUnified'!$W78+'2025Sep1-2025Sep30CustomUnified'!$U78+'2025Sep1-2025Sep30CustomUnified'!$S78+'2025Sep1-2025Sep30CustomUnified'!$Q78</f>
        <v>0</v>
      </c>
      <c r="AM78" s="220">
        <f>SUM('2025Sep1-2025Sep30CustomUnified'!$AB78:$AC78)</f>
        <v>0</v>
      </c>
      <c r="AN78" s="220">
        <f>SUM('2025Sep1-2025Sep30CustomUnified'!$AK78:$AM78)</f>
        <v>-16.6</v>
      </c>
      <c r="AO78" s="220">
        <f>'2025Sep1-2025Sep30CustomUnified'!$AG78+'2025Sep1-2025Sep30CustomUnified'!$AN78</f>
        <v>94.09</v>
      </c>
    </row>
    <row r="79" ht="15.75" hidden="1" customHeight="1">
      <c r="A79" s="220" t="s">
        <v>678</v>
      </c>
      <c r="B79" s="220">
        <v>2.4450080321E10</v>
      </c>
      <c r="C79" s="220" t="s">
        <v>443</v>
      </c>
      <c r="D79" s="220" t="s">
        <v>679</v>
      </c>
      <c r="E79" s="220" t="s">
        <v>227</v>
      </c>
      <c r="F79" s="220" t="s">
        <v>547</v>
      </c>
      <c r="G79" s="220">
        <v>1.0</v>
      </c>
      <c r="H79" s="220" t="s">
        <v>446</v>
      </c>
      <c r="I79" s="220" t="s">
        <v>447</v>
      </c>
      <c r="J79" s="220" t="s">
        <v>448</v>
      </c>
      <c r="K79" s="220" t="s">
        <v>680</v>
      </c>
      <c r="L79" s="220" t="s">
        <v>605</v>
      </c>
      <c r="M79" s="220">
        <v>80226.0</v>
      </c>
      <c r="N79" s="220" t="s">
        <v>451</v>
      </c>
      <c r="O79" s="220">
        <v>118.89</v>
      </c>
      <c r="P79" s="220">
        <v>8.92</v>
      </c>
      <c r="Q79" s="220">
        <v>0.0</v>
      </c>
      <c r="R79" s="220">
        <v>0.0</v>
      </c>
      <c r="S79" s="220">
        <v>0.0</v>
      </c>
      <c r="T79" s="220">
        <v>0.0</v>
      </c>
      <c r="U79" s="220">
        <v>0.0</v>
      </c>
      <c r="V79" s="220">
        <v>0.0</v>
      </c>
      <c r="W79" s="220">
        <v>0.0</v>
      </c>
      <c r="X79" s="220">
        <v>0.0</v>
      </c>
      <c r="Y79" s="220">
        <v>-8.92</v>
      </c>
      <c r="Z79" s="220">
        <v>-17.83</v>
      </c>
      <c r="AA79" s="220">
        <v>-24.43</v>
      </c>
      <c r="AB79" s="220">
        <v>0.0</v>
      </c>
      <c r="AC79" s="220">
        <v>0.0</v>
      </c>
      <c r="AD79" s="220">
        <v>76.63</v>
      </c>
      <c r="AE79" s="220">
        <f>IF('2025Sep1-2025Sep30CustomUnified'!$C79="order",'2025Sep1-2025Sep30CustomUnified'!$O79,0)</f>
        <v>118.89</v>
      </c>
      <c r="AF79" s="220">
        <f>IF('2025Sep1-2025Sep30CustomUnified'!$C79="refund",'2025Sep1-2025Sep30CustomUnified'!$O79,0)</f>
        <v>0</v>
      </c>
      <c r="AG79" s="220">
        <f>SUM('2025Sep1-2025Sep30CustomUnified'!$AE79:$AF79)</f>
        <v>118.89</v>
      </c>
      <c r="AH79" s="220">
        <f>IF('2025Sep1-2025Sep30CustomUnified'!$C79="order",'2025Sep1-2025Sep30CustomUnified'!$G79,0)</f>
        <v>1</v>
      </c>
      <c r="AI79" s="220">
        <f>IF('2025Sep1-2025Sep30CustomUnified'!$C79="refund",-'2025Sep1-2025Sep30CustomUnified'!$G79,0)</f>
        <v>0</v>
      </c>
      <c r="AJ79" s="220">
        <f>SUM('2025Sep1-2025Sep30CustomUnified'!$AH79:$AI79)</f>
        <v>1</v>
      </c>
      <c r="AK79" s="220">
        <f>'2025Sep1-2025Sep30CustomUnified'!$Z79</f>
        <v>-17.83</v>
      </c>
      <c r="AL79" s="220">
        <f>'2025Sep1-2025Sep30CustomUnified'!$AA79+'2025Sep1-2025Sep30CustomUnified'!$W79+'2025Sep1-2025Sep30CustomUnified'!$U79+'2025Sep1-2025Sep30CustomUnified'!$S79+'2025Sep1-2025Sep30CustomUnified'!$Q79</f>
        <v>-24.43</v>
      </c>
      <c r="AM79" s="220">
        <f>SUM('2025Sep1-2025Sep30CustomUnified'!$AB79:$AC79)</f>
        <v>0</v>
      </c>
      <c r="AN79" s="220">
        <f>SUM('2025Sep1-2025Sep30CustomUnified'!$AK79:$AM79)</f>
        <v>-42.26</v>
      </c>
      <c r="AO79" s="220">
        <f>'2025Sep1-2025Sep30CustomUnified'!$AG79+'2025Sep1-2025Sep30CustomUnified'!$AN79</f>
        <v>76.63</v>
      </c>
    </row>
    <row r="80" ht="15.75" customHeight="1">
      <c r="A80" s="220" t="s">
        <v>681</v>
      </c>
      <c r="B80" s="220">
        <v>2.4450080321E10</v>
      </c>
      <c r="C80" s="220" t="s">
        <v>443</v>
      </c>
      <c r="D80" s="220" t="s">
        <v>682</v>
      </c>
      <c r="E80" s="220" t="s">
        <v>225</v>
      </c>
      <c r="F80" s="220" t="s">
        <v>468</v>
      </c>
      <c r="G80" s="220">
        <v>1.0</v>
      </c>
      <c r="H80" s="220" t="s">
        <v>446</v>
      </c>
      <c r="I80" s="220" t="s">
        <v>447</v>
      </c>
      <c r="J80" s="220" t="s">
        <v>448</v>
      </c>
      <c r="K80" s="220" t="s">
        <v>683</v>
      </c>
      <c r="L80" s="220" t="s">
        <v>475</v>
      </c>
      <c r="M80" s="220">
        <v>33156.0</v>
      </c>
      <c r="N80" s="220" t="s">
        <v>451</v>
      </c>
      <c r="O80" s="220">
        <v>125.99</v>
      </c>
      <c r="P80" s="220">
        <v>8.38</v>
      </c>
      <c r="Q80" s="220">
        <v>0.0</v>
      </c>
      <c r="R80" s="220">
        <v>0.0</v>
      </c>
      <c r="S80" s="220">
        <v>0.0</v>
      </c>
      <c r="T80" s="220">
        <v>0.0</v>
      </c>
      <c r="U80" s="220">
        <v>0.0</v>
      </c>
      <c r="V80" s="220">
        <v>0.0</v>
      </c>
      <c r="W80" s="220">
        <v>-6.3</v>
      </c>
      <c r="X80" s="220">
        <v>0.0</v>
      </c>
      <c r="Y80" s="220">
        <v>-8.38</v>
      </c>
      <c r="Z80" s="220">
        <v>-17.95</v>
      </c>
      <c r="AA80" s="220">
        <v>-25.95</v>
      </c>
      <c r="AB80" s="220">
        <v>0.0</v>
      </c>
      <c r="AC80" s="220">
        <v>0.0</v>
      </c>
      <c r="AD80" s="220">
        <v>75.79</v>
      </c>
      <c r="AE80" s="220">
        <f>IF('2025Sep1-2025Sep30CustomUnified'!$C80="order",'2025Sep1-2025Sep30CustomUnified'!$O80,0)</f>
        <v>125.99</v>
      </c>
      <c r="AF80" s="220">
        <f>IF('2025Sep1-2025Sep30CustomUnified'!$C80="refund",'2025Sep1-2025Sep30CustomUnified'!$O80,0)</f>
        <v>0</v>
      </c>
      <c r="AG80" s="220">
        <f>SUM('2025Sep1-2025Sep30CustomUnified'!$AE80:$AF80)</f>
        <v>125.99</v>
      </c>
      <c r="AH80" s="220">
        <f>IF('2025Sep1-2025Sep30CustomUnified'!$C80="order",'2025Sep1-2025Sep30CustomUnified'!$G80,0)</f>
        <v>1</v>
      </c>
      <c r="AI80" s="220">
        <f>IF('2025Sep1-2025Sep30CustomUnified'!$C80="refund",-'2025Sep1-2025Sep30CustomUnified'!$G80,0)</f>
        <v>0</v>
      </c>
      <c r="AJ80" s="220">
        <f>SUM('2025Sep1-2025Sep30CustomUnified'!$AH80:$AI80)</f>
        <v>1</v>
      </c>
      <c r="AK80" s="220">
        <f>'2025Sep1-2025Sep30CustomUnified'!$Z80</f>
        <v>-17.95</v>
      </c>
      <c r="AL80" s="220">
        <f>'2025Sep1-2025Sep30CustomUnified'!$AA80+'2025Sep1-2025Sep30CustomUnified'!$W80+'2025Sep1-2025Sep30CustomUnified'!$U80+'2025Sep1-2025Sep30CustomUnified'!$S80+'2025Sep1-2025Sep30CustomUnified'!$Q80</f>
        <v>-32.25</v>
      </c>
      <c r="AM80" s="220">
        <f>SUM('2025Sep1-2025Sep30CustomUnified'!$AB80:$AC80)</f>
        <v>0</v>
      </c>
      <c r="AN80" s="220">
        <f>SUM('2025Sep1-2025Sep30CustomUnified'!$AK80:$AM80)</f>
        <v>-50.2</v>
      </c>
      <c r="AO80" s="220">
        <f>'2025Sep1-2025Sep30CustomUnified'!$AG80+'2025Sep1-2025Sep30CustomUnified'!$AN80</f>
        <v>75.79</v>
      </c>
    </row>
    <row r="81" ht="15.75" customHeight="1">
      <c r="A81" s="220" t="s">
        <v>684</v>
      </c>
      <c r="B81" s="220">
        <v>2.4450080321E10</v>
      </c>
      <c r="C81" s="220" t="s">
        <v>443</v>
      </c>
      <c r="D81" s="220" t="s">
        <v>685</v>
      </c>
      <c r="E81" s="220" t="s">
        <v>225</v>
      </c>
      <c r="F81" s="220" t="s">
        <v>468</v>
      </c>
      <c r="G81" s="220">
        <v>1.0</v>
      </c>
      <c r="H81" s="220" t="s">
        <v>446</v>
      </c>
      <c r="I81" s="220" t="s">
        <v>447</v>
      </c>
      <c r="J81" s="220" t="s">
        <v>448</v>
      </c>
      <c r="K81" s="220" t="s">
        <v>686</v>
      </c>
      <c r="L81" s="220" t="s">
        <v>662</v>
      </c>
      <c r="M81" s="221" t="s">
        <v>687</v>
      </c>
      <c r="N81" s="220" t="s">
        <v>451</v>
      </c>
      <c r="O81" s="220">
        <v>121.79</v>
      </c>
      <c r="P81" s="220">
        <v>7.61</v>
      </c>
      <c r="Q81" s="220">
        <v>0.0</v>
      </c>
      <c r="R81" s="220">
        <v>0.0</v>
      </c>
      <c r="S81" s="220">
        <v>0.0</v>
      </c>
      <c r="T81" s="220">
        <v>0.0</v>
      </c>
      <c r="U81" s="220">
        <v>0.0</v>
      </c>
      <c r="V81" s="220">
        <v>0.0</v>
      </c>
      <c r="W81" s="220">
        <v>0.0</v>
      </c>
      <c r="X81" s="220">
        <v>0.0</v>
      </c>
      <c r="Y81" s="220">
        <v>-7.61</v>
      </c>
      <c r="Z81" s="220">
        <v>-18.27</v>
      </c>
      <c r="AA81" s="220">
        <v>-25.95</v>
      </c>
      <c r="AB81" s="220">
        <v>0.0</v>
      </c>
      <c r="AC81" s="220">
        <v>0.0</v>
      </c>
      <c r="AD81" s="220">
        <v>77.57</v>
      </c>
      <c r="AE81" s="220">
        <f>IF('2025Sep1-2025Sep30CustomUnified'!$C81="order",'2025Sep1-2025Sep30CustomUnified'!$O81,0)</f>
        <v>121.79</v>
      </c>
      <c r="AF81" s="220">
        <f>IF('2025Sep1-2025Sep30CustomUnified'!$C81="refund",'2025Sep1-2025Sep30CustomUnified'!$O81,0)</f>
        <v>0</v>
      </c>
      <c r="AG81" s="220">
        <f>SUM('2025Sep1-2025Sep30CustomUnified'!$AE81:$AF81)</f>
        <v>121.79</v>
      </c>
      <c r="AH81" s="220">
        <f>IF('2025Sep1-2025Sep30CustomUnified'!$C81="order",'2025Sep1-2025Sep30CustomUnified'!$G81,0)</f>
        <v>1</v>
      </c>
      <c r="AI81" s="220">
        <f>IF('2025Sep1-2025Sep30CustomUnified'!$C81="refund",-'2025Sep1-2025Sep30CustomUnified'!$G81,0)</f>
        <v>0</v>
      </c>
      <c r="AJ81" s="220">
        <f>SUM('2025Sep1-2025Sep30CustomUnified'!$AH81:$AI81)</f>
        <v>1</v>
      </c>
      <c r="AK81" s="220">
        <f>'2025Sep1-2025Sep30CustomUnified'!$Z81</f>
        <v>-18.27</v>
      </c>
      <c r="AL81" s="220">
        <f>'2025Sep1-2025Sep30CustomUnified'!$AA81+'2025Sep1-2025Sep30CustomUnified'!$W81+'2025Sep1-2025Sep30CustomUnified'!$U81+'2025Sep1-2025Sep30CustomUnified'!$S81+'2025Sep1-2025Sep30CustomUnified'!$Q81</f>
        <v>-25.95</v>
      </c>
      <c r="AM81" s="220">
        <f>SUM('2025Sep1-2025Sep30CustomUnified'!$AB81:$AC81)</f>
        <v>0</v>
      </c>
      <c r="AN81" s="220">
        <f>SUM('2025Sep1-2025Sep30CustomUnified'!$AK81:$AM81)</f>
        <v>-44.22</v>
      </c>
      <c r="AO81" s="220">
        <f>'2025Sep1-2025Sep30CustomUnified'!$AG81+'2025Sep1-2025Sep30CustomUnified'!$AN81</f>
        <v>77.57</v>
      </c>
    </row>
    <row r="82" ht="15.75" hidden="1" customHeight="1">
      <c r="A82" s="220" t="s">
        <v>688</v>
      </c>
      <c r="B82" s="220">
        <v>2.4450080321E10</v>
      </c>
      <c r="C82" s="220" t="s">
        <v>443</v>
      </c>
      <c r="D82" s="220" t="s">
        <v>689</v>
      </c>
      <c r="E82" s="220" t="s">
        <v>224</v>
      </c>
      <c r="F82" s="220" t="s">
        <v>495</v>
      </c>
      <c r="G82" s="220">
        <v>1.0</v>
      </c>
      <c r="H82" s="220" t="s">
        <v>446</v>
      </c>
      <c r="I82" s="220" t="s">
        <v>447</v>
      </c>
      <c r="J82" s="220" t="s">
        <v>448</v>
      </c>
      <c r="K82" s="220" t="s">
        <v>627</v>
      </c>
      <c r="L82" s="220" t="s">
        <v>533</v>
      </c>
      <c r="M82" s="220">
        <v>70586.0</v>
      </c>
      <c r="N82" s="220" t="s">
        <v>451</v>
      </c>
      <c r="O82" s="220">
        <v>110.69</v>
      </c>
      <c r="P82" s="220">
        <v>12.18</v>
      </c>
      <c r="Q82" s="220">
        <v>0.0</v>
      </c>
      <c r="R82" s="220">
        <v>0.0</v>
      </c>
      <c r="S82" s="220">
        <v>0.0</v>
      </c>
      <c r="T82" s="220">
        <v>0.0</v>
      </c>
      <c r="U82" s="220">
        <v>0.0</v>
      </c>
      <c r="V82" s="220">
        <v>0.0</v>
      </c>
      <c r="W82" s="220">
        <v>0.0</v>
      </c>
      <c r="X82" s="220">
        <v>0.0</v>
      </c>
      <c r="Y82" s="220">
        <v>-12.18</v>
      </c>
      <c r="Z82" s="220">
        <v>-16.6</v>
      </c>
      <c r="AA82" s="220">
        <v>-1.21</v>
      </c>
      <c r="AB82" s="220">
        <v>0.0</v>
      </c>
      <c r="AC82" s="220">
        <v>0.0</v>
      </c>
      <c r="AD82" s="220">
        <v>92.88</v>
      </c>
      <c r="AE82" s="220">
        <f>IF('2025Sep1-2025Sep30CustomUnified'!$C82="order",'2025Sep1-2025Sep30CustomUnified'!$O82,0)</f>
        <v>110.69</v>
      </c>
      <c r="AF82" s="220">
        <f>IF('2025Sep1-2025Sep30CustomUnified'!$C82="refund",'2025Sep1-2025Sep30CustomUnified'!$O82,0)</f>
        <v>0</v>
      </c>
      <c r="AG82" s="220">
        <f>SUM('2025Sep1-2025Sep30CustomUnified'!$AE82:$AF82)</f>
        <v>110.69</v>
      </c>
      <c r="AH82" s="220">
        <f>IF('2025Sep1-2025Sep30CustomUnified'!$C82="order",'2025Sep1-2025Sep30CustomUnified'!$G82,0)</f>
        <v>1</v>
      </c>
      <c r="AI82" s="220">
        <f>IF('2025Sep1-2025Sep30CustomUnified'!$C82="refund",-'2025Sep1-2025Sep30CustomUnified'!$G82,0)</f>
        <v>0</v>
      </c>
      <c r="AJ82" s="220">
        <f>SUM('2025Sep1-2025Sep30CustomUnified'!$AH82:$AI82)</f>
        <v>1</v>
      </c>
      <c r="AK82" s="220">
        <f>'2025Sep1-2025Sep30CustomUnified'!$Z82</f>
        <v>-16.6</v>
      </c>
      <c r="AL82" s="220">
        <f>'2025Sep1-2025Sep30CustomUnified'!$AA82+'2025Sep1-2025Sep30CustomUnified'!$W82+'2025Sep1-2025Sep30CustomUnified'!$U82+'2025Sep1-2025Sep30CustomUnified'!$S82+'2025Sep1-2025Sep30CustomUnified'!$Q82</f>
        <v>-1.21</v>
      </c>
      <c r="AM82" s="220">
        <f>SUM('2025Sep1-2025Sep30CustomUnified'!$AB82:$AC82)</f>
        <v>0</v>
      </c>
      <c r="AN82" s="220">
        <f>SUM('2025Sep1-2025Sep30CustomUnified'!$AK82:$AM82)</f>
        <v>-17.81</v>
      </c>
      <c r="AO82" s="220">
        <f>'2025Sep1-2025Sep30CustomUnified'!$AG82+'2025Sep1-2025Sep30CustomUnified'!$AN82</f>
        <v>92.88</v>
      </c>
    </row>
    <row r="83" ht="15.75" hidden="1" customHeight="1">
      <c r="A83" s="220" t="s">
        <v>690</v>
      </c>
      <c r="B83" s="220">
        <v>2.4450080321E10</v>
      </c>
      <c r="C83" s="220" t="s">
        <v>443</v>
      </c>
      <c r="D83" s="220" t="s">
        <v>691</v>
      </c>
      <c r="E83" s="220" t="s">
        <v>222</v>
      </c>
      <c r="F83" s="220" t="s">
        <v>445</v>
      </c>
      <c r="G83" s="220">
        <v>1.0</v>
      </c>
      <c r="H83" s="220" t="s">
        <v>446</v>
      </c>
      <c r="I83" s="220" t="s">
        <v>447</v>
      </c>
      <c r="J83" s="220" t="s">
        <v>448</v>
      </c>
      <c r="K83" s="220" t="s">
        <v>692</v>
      </c>
      <c r="L83" s="220" t="s">
        <v>693</v>
      </c>
      <c r="M83" s="220">
        <v>92234.0</v>
      </c>
      <c r="N83" s="220" t="s">
        <v>451</v>
      </c>
      <c r="O83" s="220">
        <v>110.69</v>
      </c>
      <c r="P83" s="220">
        <v>10.24</v>
      </c>
      <c r="Q83" s="220">
        <v>0.0</v>
      </c>
      <c r="R83" s="220">
        <v>0.0</v>
      </c>
      <c r="S83" s="220">
        <v>0.0</v>
      </c>
      <c r="T83" s="220">
        <v>0.0</v>
      </c>
      <c r="U83" s="220">
        <v>0.0</v>
      </c>
      <c r="V83" s="220">
        <v>0.0</v>
      </c>
      <c r="W83" s="220">
        <v>0.0</v>
      </c>
      <c r="X83" s="220">
        <v>0.0</v>
      </c>
      <c r="Y83" s="220">
        <v>-10.24</v>
      </c>
      <c r="Z83" s="220">
        <v>-16.6</v>
      </c>
      <c r="AA83" s="220">
        <v>-16.45</v>
      </c>
      <c r="AB83" s="220">
        <v>0.0</v>
      </c>
      <c r="AC83" s="220">
        <v>0.0</v>
      </c>
      <c r="AD83" s="220">
        <v>77.64</v>
      </c>
      <c r="AE83" s="220">
        <f>IF('2025Sep1-2025Sep30CustomUnified'!$C83="order",'2025Sep1-2025Sep30CustomUnified'!$O83,0)</f>
        <v>110.69</v>
      </c>
      <c r="AF83" s="220">
        <f>IF('2025Sep1-2025Sep30CustomUnified'!$C83="refund",'2025Sep1-2025Sep30CustomUnified'!$O83,0)</f>
        <v>0</v>
      </c>
      <c r="AG83" s="220">
        <f>SUM('2025Sep1-2025Sep30CustomUnified'!$AE83:$AF83)</f>
        <v>110.69</v>
      </c>
      <c r="AH83" s="220">
        <f>IF('2025Sep1-2025Sep30CustomUnified'!$C83="order",'2025Sep1-2025Sep30CustomUnified'!$G83,0)</f>
        <v>1</v>
      </c>
      <c r="AI83" s="220">
        <f>IF('2025Sep1-2025Sep30CustomUnified'!$C83="refund",-'2025Sep1-2025Sep30CustomUnified'!$G83,0)</f>
        <v>0</v>
      </c>
      <c r="AJ83" s="220">
        <f>SUM('2025Sep1-2025Sep30CustomUnified'!$AH83:$AI83)</f>
        <v>1</v>
      </c>
      <c r="AK83" s="220">
        <f>'2025Sep1-2025Sep30CustomUnified'!$Z83</f>
        <v>-16.6</v>
      </c>
      <c r="AL83" s="220">
        <f>'2025Sep1-2025Sep30CustomUnified'!$AA83+'2025Sep1-2025Sep30CustomUnified'!$W83+'2025Sep1-2025Sep30CustomUnified'!$U83+'2025Sep1-2025Sep30CustomUnified'!$S83+'2025Sep1-2025Sep30CustomUnified'!$Q83</f>
        <v>-16.45</v>
      </c>
      <c r="AM83" s="220">
        <f>SUM('2025Sep1-2025Sep30CustomUnified'!$AB83:$AC83)</f>
        <v>0</v>
      </c>
      <c r="AN83" s="220">
        <f>SUM('2025Sep1-2025Sep30CustomUnified'!$AK83:$AM83)</f>
        <v>-33.05</v>
      </c>
      <c r="AO83" s="220">
        <f>'2025Sep1-2025Sep30CustomUnified'!$AG83+'2025Sep1-2025Sep30CustomUnified'!$AN83</f>
        <v>77.64</v>
      </c>
    </row>
    <row r="84" ht="15.75" hidden="1" customHeight="1">
      <c r="A84" s="220" t="s">
        <v>694</v>
      </c>
      <c r="B84" s="220">
        <v>2.4450080321E10</v>
      </c>
      <c r="C84" s="220" t="s">
        <v>443</v>
      </c>
      <c r="D84" s="220" t="s">
        <v>695</v>
      </c>
      <c r="E84" s="220" t="s">
        <v>222</v>
      </c>
      <c r="F84" s="220" t="s">
        <v>445</v>
      </c>
      <c r="G84" s="220">
        <v>1.0</v>
      </c>
      <c r="H84" s="220" t="s">
        <v>446</v>
      </c>
      <c r="I84" s="220" t="s">
        <v>447</v>
      </c>
      <c r="J84" s="220" t="s">
        <v>448</v>
      </c>
      <c r="K84" s="220" t="s">
        <v>696</v>
      </c>
      <c r="L84" s="220" t="s">
        <v>455</v>
      </c>
      <c r="M84" s="220">
        <v>94583.0</v>
      </c>
      <c r="N84" s="220" t="s">
        <v>451</v>
      </c>
      <c r="O84" s="220">
        <v>110.69</v>
      </c>
      <c r="P84" s="220">
        <v>10.79</v>
      </c>
      <c r="Q84" s="220">
        <v>0.0</v>
      </c>
      <c r="R84" s="220">
        <v>0.0</v>
      </c>
      <c r="S84" s="220">
        <v>0.0</v>
      </c>
      <c r="T84" s="220">
        <v>0.0</v>
      </c>
      <c r="U84" s="220">
        <v>0.0</v>
      </c>
      <c r="V84" s="220">
        <v>0.0</v>
      </c>
      <c r="W84" s="220">
        <v>0.0</v>
      </c>
      <c r="X84" s="220">
        <v>0.0</v>
      </c>
      <c r="Y84" s="220">
        <v>-10.79</v>
      </c>
      <c r="Z84" s="220">
        <v>-16.6</v>
      </c>
      <c r="AA84" s="220">
        <v>-16.45</v>
      </c>
      <c r="AB84" s="220">
        <v>0.0</v>
      </c>
      <c r="AC84" s="220">
        <v>0.0</v>
      </c>
      <c r="AD84" s="220">
        <v>77.64</v>
      </c>
      <c r="AE84" s="220">
        <f>IF('2025Sep1-2025Sep30CustomUnified'!$C84="order",'2025Sep1-2025Sep30CustomUnified'!$O84,0)</f>
        <v>110.69</v>
      </c>
      <c r="AF84" s="220">
        <f>IF('2025Sep1-2025Sep30CustomUnified'!$C84="refund",'2025Sep1-2025Sep30CustomUnified'!$O84,0)</f>
        <v>0</v>
      </c>
      <c r="AG84" s="220">
        <f>SUM('2025Sep1-2025Sep30CustomUnified'!$AE84:$AF84)</f>
        <v>110.69</v>
      </c>
      <c r="AH84" s="220">
        <f>IF('2025Sep1-2025Sep30CustomUnified'!$C84="order",'2025Sep1-2025Sep30CustomUnified'!$G84,0)</f>
        <v>1</v>
      </c>
      <c r="AI84" s="220">
        <f>IF('2025Sep1-2025Sep30CustomUnified'!$C84="refund",-'2025Sep1-2025Sep30CustomUnified'!$G84,0)</f>
        <v>0</v>
      </c>
      <c r="AJ84" s="220">
        <f>SUM('2025Sep1-2025Sep30CustomUnified'!$AH84:$AI84)</f>
        <v>1</v>
      </c>
      <c r="AK84" s="220">
        <f>'2025Sep1-2025Sep30CustomUnified'!$Z84</f>
        <v>-16.6</v>
      </c>
      <c r="AL84" s="220">
        <f>'2025Sep1-2025Sep30CustomUnified'!$AA84+'2025Sep1-2025Sep30CustomUnified'!$W84+'2025Sep1-2025Sep30CustomUnified'!$U84+'2025Sep1-2025Sep30CustomUnified'!$S84+'2025Sep1-2025Sep30CustomUnified'!$Q84</f>
        <v>-16.45</v>
      </c>
      <c r="AM84" s="220">
        <f>SUM('2025Sep1-2025Sep30CustomUnified'!$AB84:$AC84)</f>
        <v>0</v>
      </c>
      <c r="AN84" s="220">
        <f>SUM('2025Sep1-2025Sep30CustomUnified'!$AK84:$AM84)</f>
        <v>-33.05</v>
      </c>
      <c r="AO84" s="220">
        <f>'2025Sep1-2025Sep30CustomUnified'!$AG84+'2025Sep1-2025Sep30CustomUnified'!$AN84</f>
        <v>77.64</v>
      </c>
    </row>
    <row r="85" ht="15.75" hidden="1" customHeight="1">
      <c r="A85" s="220" t="s">
        <v>697</v>
      </c>
      <c r="B85" s="220">
        <v>2.4450080321E10</v>
      </c>
      <c r="C85" s="220" t="s">
        <v>443</v>
      </c>
      <c r="D85" s="220" t="s">
        <v>698</v>
      </c>
      <c r="E85" s="220" t="s">
        <v>222</v>
      </c>
      <c r="F85" s="220" t="s">
        <v>445</v>
      </c>
      <c r="G85" s="220">
        <v>1.0</v>
      </c>
      <c r="H85" s="220" t="s">
        <v>446</v>
      </c>
      <c r="I85" s="220" t="s">
        <v>447</v>
      </c>
      <c r="J85" s="220" t="s">
        <v>448</v>
      </c>
      <c r="K85" s="220" t="s">
        <v>699</v>
      </c>
      <c r="L85" s="220" t="s">
        <v>455</v>
      </c>
      <c r="M85" s="220">
        <v>96001.0</v>
      </c>
      <c r="N85" s="220" t="s">
        <v>451</v>
      </c>
      <c r="O85" s="220">
        <v>110.49</v>
      </c>
      <c r="P85" s="220">
        <v>8.01</v>
      </c>
      <c r="Q85" s="220">
        <v>0.0</v>
      </c>
      <c r="R85" s="220">
        <v>0.0</v>
      </c>
      <c r="S85" s="220">
        <v>0.0</v>
      </c>
      <c r="T85" s="220">
        <v>0.0</v>
      </c>
      <c r="U85" s="220">
        <v>0.0</v>
      </c>
      <c r="V85" s="220">
        <v>0.0</v>
      </c>
      <c r="W85" s="220">
        <v>0.0</v>
      </c>
      <c r="X85" s="220">
        <v>0.0</v>
      </c>
      <c r="Y85" s="220">
        <v>-8.01</v>
      </c>
      <c r="Z85" s="220">
        <v>-16.57</v>
      </c>
      <c r="AA85" s="220">
        <v>-16.45</v>
      </c>
      <c r="AB85" s="220">
        <v>0.0</v>
      </c>
      <c r="AC85" s="220">
        <v>0.0</v>
      </c>
      <c r="AD85" s="220">
        <v>77.47</v>
      </c>
      <c r="AE85" s="220">
        <f>IF('2025Sep1-2025Sep30CustomUnified'!$C85="order",'2025Sep1-2025Sep30CustomUnified'!$O85,0)</f>
        <v>110.49</v>
      </c>
      <c r="AF85" s="220">
        <f>IF('2025Sep1-2025Sep30CustomUnified'!$C85="refund",'2025Sep1-2025Sep30CustomUnified'!$O85,0)</f>
        <v>0</v>
      </c>
      <c r="AG85" s="220">
        <f>SUM('2025Sep1-2025Sep30CustomUnified'!$AE85:$AF85)</f>
        <v>110.49</v>
      </c>
      <c r="AH85" s="220">
        <f>IF('2025Sep1-2025Sep30CustomUnified'!$C85="order",'2025Sep1-2025Sep30CustomUnified'!$G85,0)</f>
        <v>1</v>
      </c>
      <c r="AI85" s="220">
        <f>IF('2025Sep1-2025Sep30CustomUnified'!$C85="refund",-'2025Sep1-2025Sep30CustomUnified'!$G85,0)</f>
        <v>0</v>
      </c>
      <c r="AJ85" s="220">
        <f>SUM('2025Sep1-2025Sep30CustomUnified'!$AH85:$AI85)</f>
        <v>1</v>
      </c>
      <c r="AK85" s="220">
        <f>'2025Sep1-2025Sep30CustomUnified'!$Z85</f>
        <v>-16.57</v>
      </c>
      <c r="AL85" s="220">
        <f>'2025Sep1-2025Sep30CustomUnified'!$AA85+'2025Sep1-2025Sep30CustomUnified'!$W85+'2025Sep1-2025Sep30CustomUnified'!$U85+'2025Sep1-2025Sep30CustomUnified'!$S85+'2025Sep1-2025Sep30CustomUnified'!$Q85</f>
        <v>-16.45</v>
      </c>
      <c r="AM85" s="220">
        <f>SUM('2025Sep1-2025Sep30CustomUnified'!$AB85:$AC85)</f>
        <v>0</v>
      </c>
      <c r="AN85" s="220">
        <f>SUM('2025Sep1-2025Sep30CustomUnified'!$AK85:$AM85)</f>
        <v>-33.02</v>
      </c>
      <c r="AO85" s="220">
        <f>'2025Sep1-2025Sep30CustomUnified'!$AG85+'2025Sep1-2025Sep30CustomUnified'!$AN85</f>
        <v>77.47</v>
      </c>
    </row>
    <row r="86" ht="15.75" hidden="1" customHeight="1">
      <c r="A86" s="220" t="s">
        <v>700</v>
      </c>
      <c r="B86" s="220">
        <v>2.4450080321E10</v>
      </c>
      <c r="C86" s="220" t="s">
        <v>443</v>
      </c>
      <c r="D86" s="220" t="s">
        <v>701</v>
      </c>
      <c r="E86" s="220" t="s">
        <v>224</v>
      </c>
      <c r="F86" s="220" t="s">
        <v>495</v>
      </c>
      <c r="G86" s="220">
        <v>1.0</v>
      </c>
      <c r="H86" s="220" t="s">
        <v>446</v>
      </c>
      <c r="I86" s="220" t="s">
        <v>447</v>
      </c>
      <c r="J86" s="220" t="s">
        <v>448</v>
      </c>
      <c r="K86" s="220" t="s">
        <v>702</v>
      </c>
      <c r="L86" s="220" t="s">
        <v>455</v>
      </c>
      <c r="M86" s="220">
        <v>94089.0</v>
      </c>
      <c r="N86" s="220" t="s">
        <v>451</v>
      </c>
      <c r="O86" s="220">
        <v>110.69</v>
      </c>
      <c r="P86" s="220">
        <v>10.1</v>
      </c>
      <c r="Q86" s="220">
        <v>0.0</v>
      </c>
      <c r="R86" s="220">
        <v>0.0</v>
      </c>
      <c r="S86" s="220">
        <v>0.0</v>
      </c>
      <c r="T86" s="220">
        <v>0.0</v>
      </c>
      <c r="U86" s="220">
        <v>0.0</v>
      </c>
      <c r="V86" s="220">
        <v>0.0</v>
      </c>
      <c r="W86" s="220">
        <v>0.0</v>
      </c>
      <c r="X86" s="220">
        <v>0.0</v>
      </c>
      <c r="Y86" s="220">
        <v>-10.1</v>
      </c>
      <c r="Z86" s="220">
        <v>-16.6</v>
      </c>
      <c r="AA86" s="220">
        <v>-16.45</v>
      </c>
      <c r="AB86" s="220">
        <v>0.0</v>
      </c>
      <c r="AC86" s="220">
        <v>0.0</v>
      </c>
      <c r="AD86" s="220">
        <v>77.64</v>
      </c>
      <c r="AE86" s="220">
        <f>IF('2025Sep1-2025Sep30CustomUnified'!$C86="order",'2025Sep1-2025Sep30CustomUnified'!$O86,0)</f>
        <v>110.69</v>
      </c>
      <c r="AF86" s="220">
        <f>IF('2025Sep1-2025Sep30CustomUnified'!$C86="refund",'2025Sep1-2025Sep30CustomUnified'!$O86,0)</f>
        <v>0</v>
      </c>
      <c r="AG86" s="220">
        <f>SUM('2025Sep1-2025Sep30CustomUnified'!$AE86:$AF86)</f>
        <v>110.69</v>
      </c>
      <c r="AH86" s="220">
        <f>IF('2025Sep1-2025Sep30CustomUnified'!$C86="order",'2025Sep1-2025Sep30CustomUnified'!$G86,0)</f>
        <v>1</v>
      </c>
      <c r="AI86" s="220">
        <f>IF('2025Sep1-2025Sep30CustomUnified'!$C86="refund",-'2025Sep1-2025Sep30CustomUnified'!$G86,0)</f>
        <v>0</v>
      </c>
      <c r="AJ86" s="220">
        <f>SUM('2025Sep1-2025Sep30CustomUnified'!$AH86:$AI86)</f>
        <v>1</v>
      </c>
      <c r="AK86" s="220">
        <f>'2025Sep1-2025Sep30CustomUnified'!$Z86</f>
        <v>-16.6</v>
      </c>
      <c r="AL86" s="220">
        <f>'2025Sep1-2025Sep30CustomUnified'!$AA86+'2025Sep1-2025Sep30CustomUnified'!$W86+'2025Sep1-2025Sep30CustomUnified'!$U86+'2025Sep1-2025Sep30CustomUnified'!$S86+'2025Sep1-2025Sep30CustomUnified'!$Q86</f>
        <v>-16.45</v>
      </c>
      <c r="AM86" s="220">
        <f>SUM('2025Sep1-2025Sep30CustomUnified'!$AB86:$AC86)</f>
        <v>0</v>
      </c>
      <c r="AN86" s="220">
        <f>SUM('2025Sep1-2025Sep30CustomUnified'!$AK86:$AM86)</f>
        <v>-33.05</v>
      </c>
      <c r="AO86" s="220">
        <f>'2025Sep1-2025Sep30CustomUnified'!$AG86+'2025Sep1-2025Sep30CustomUnified'!$AN86</f>
        <v>77.64</v>
      </c>
    </row>
    <row r="87" ht="15.75" hidden="1" customHeight="1">
      <c r="A87" s="220" t="s">
        <v>703</v>
      </c>
      <c r="B87" s="220">
        <v>2.4450080321E10</v>
      </c>
      <c r="C87" s="220" t="s">
        <v>443</v>
      </c>
      <c r="D87" s="220" t="s">
        <v>704</v>
      </c>
      <c r="E87" s="220" t="s">
        <v>229</v>
      </c>
      <c r="F87" s="220" t="s">
        <v>501</v>
      </c>
      <c r="G87" s="220">
        <v>1.0</v>
      </c>
      <c r="H87" s="220" t="s">
        <v>446</v>
      </c>
      <c r="I87" s="220" t="s">
        <v>447</v>
      </c>
      <c r="J87" s="220" t="s">
        <v>448</v>
      </c>
      <c r="K87" s="220" t="s">
        <v>548</v>
      </c>
      <c r="L87" s="220" t="s">
        <v>549</v>
      </c>
      <c r="M87" s="220">
        <v>78751.0</v>
      </c>
      <c r="N87" s="220" t="s">
        <v>451</v>
      </c>
      <c r="O87" s="220">
        <v>85.25</v>
      </c>
      <c r="P87" s="220">
        <v>7.03</v>
      </c>
      <c r="Q87" s="220">
        <v>0.0</v>
      </c>
      <c r="R87" s="220">
        <v>0.0</v>
      </c>
      <c r="S87" s="220">
        <v>0.0</v>
      </c>
      <c r="T87" s="220">
        <v>0.0</v>
      </c>
      <c r="U87" s="220">
        <v>0.0</v>
      </c>
      <c r="V87" s="220">
        <v>0.0</v>
      </c>
      <c r="W87" s="220">
        <v>0.0</v>
      </c>
      <c r="X87" s="220">
        <v>0.0</v>
      </c>
      <c r="Y87" s="220">
        <v>-7.03</v>
      </c>
      <c r="Z87" s="220">
        <v>-12.79</v>
      </c>
      <c r="AA87" s="220">
        <v>0.0</v>
      </c>
      <c r="AB87" s="220">
        <v>0.0</v>
      </c>
      <c r="AC87" s="220">
        <v>0.0</v>
      </c>
      <c r="AD87" s="220">
        <v>72.46</v>
      </c>
      <c r="AE87" s="220">
        <f>IF('2025Sep1-2025Sep30CustomUnified'!$C87="order",'2025Sep1-2025Sep30CustomUnified'!$O87,0)</f>
        <v>85.25</v>
      </c>
      <c r="AF87" s="220">
        <f>IF('2025Sep1-2025Sep30CustomUnified'!$C87="refund",'2025Sep1-2025Sep30CustomUnified'!$O87,0)</f>
        <v>0</v>
      </c>
      <c r="AG87" s="220">
        <f>SUM('2025Sep1-2025Sep30CustomUnified'!$AE87:$AF87)</f>
        <v>85.25</v>
      </c>
      <c r="AH87" s="220">
        <f>IF('2025Sep1-2025Sep30CustomUnified'!$C87="order",'2025Sep1-2025Sep30CustomUnified'!$G87,0)</f>
        <v>1</v>
      </c>
      <c r="AI87" s="220">
        <f>IF('2025Sep1-2025Sep30CustomUnified'!$C87="refund",-'2025Sep1-2025Sep30CustomUnified'!$G87,0)</f>
        <v>0</v>
      </c>
      <c r="AJ87" s="220">
        <f>SUM('2025Sep1-2025Sep30CustomUnified'!$AH87:$AI87)</f>
        <v>1</v>
      </c>
      <c r="AK87" s="220">
        <f>'2025Sep1-2025Sep30CustomUnified'!$Z87</f>
        <v>-12.79</v>
      </c>
      <c r="AL87" s="220">
        <f>'2025Sep1-2025Sep30CustomUnified'!$AA87+'2025Sep1-2025Sep30CustomUnified'!$W87+'2025Sep1-2025Sep30CustomUnified'!$U87+'2025Sep1-2025Sep30CustomUnified'!$S87+'2025Sep1-2025Sep30CustomUnified'!$Q87</f>
        <v>0</v>
      </c>
      <c r="AM87" s="220">
        <f>SUM('2025Sep1-2025Sep30CustomUnified'!$AB87:$AC87)</f>
        <v>0</v>
      </c>
      <c r="AN87" s="220">
        <f>SUM('2025Sep1-2025Sep30CustomUnified'!$AK87:$AM87)</f>
        <v>-12.79</v>
      </c>
      <c r="AO87" s="220">
        <f>'2025Sep1-2025Sep30CustomUnified'!$AG87+'2025Sep1-2025Sep30CustomUnified'!$AN87</f>
        <v>72.46</v>
      </c>
    </row>
    <row r="88" ht="15.75" hidden="1" customHeight="1">
      <c r="A88" s="220" t="s">
        <v>705</v>
      </c>
      <c r="B88" s="220">
        <v>2.4418312221E10</v>
      </c>
      <c r="C88" s="220" t="s">
        <v>443</v>
      </c>
      <c r="D88" s="220" t="s">
        <v>706</v>
      </c>
      <c r="E88" s="220" t="s">
        <v>227</v>
      </c>
      <c r="F88" s="220" t="s">
        <v>547</v>
      </c>
      <c r="G88" s="220">
        <v>1.0</v>
      </c>
      <c r="H88" s="220" t="s">
        <v>446</v>
      </c>
      <c r="I88" s="220" t="s">
        <v>707</v>
      </c>
      <c r="J88" s="220" t="s">
        <v>448</v>
      </c>
      <c r="K88" s="220" t="s">
        <v>708</v>
      </c>
      <c r="L88" s="220" t="s">
        <v>484</v>
      </c>
      <c r="M88" s="220">
        <v>27803.0</v>
      </c>
      <c r="N88" s="220" t="s">
        <v>451</v>
      </c>
      <c r="O88" s="220">
        <v>139.89</v>
      </c>
      <c r="P88" s="220">
        <v>8.97</v>
      </c>
      <c r="Q88" s="220">
        <v>0.0</v>
      </c>
      <c r="R88" s="220">
        <v>0.0</v>
      </c>
      <c r="S88" s="220">
        <v>0.0</v>
      </c>
      <c r="T88" s="220">
        <v>0.0</v>
      </c>
      <c r="U88" s="220">
        <v>0.0</v>
      </c>
      <c r="V88" s="220">
        <v>0.0</v>
      </c>
      <c r="W88" s="220">
        <v>-6.99</v>
      </c>
      <c r="X88" s="220">
        <v>0.0</v>
      </c>
      <c r="Y88" s="220">
        <v>-8.97</v>
      </c>
      <c r="Z88" s="220">
        <v>-19.94</v>
      </c>
      <c r="AA88" s="220">
        <v>-24.43</v>
      </c>
      <c r="AB88" s="220">
        <v>0.0</v>
      </c>
      <c r="AC88" s="220">
        <v>0.0</v>
      </c>
      <c r="AD88" s="220">
        <v>88.53</v>
      </c>
      <c r="AE88" s="220">
        <f>IF('2025Sep1-2025Sep30CustomUnified'!$C88="order",'2025Sep1-2025Sep30CustomUnified'!$O88,0)</f>
        <v>139.89</v>
      </c>
      <c r="AF88" s="220">
        <f>IF('2025Sep1-2025Sep30CustomUnified'!$C88="refund",'2025Sep1-2025Sep30CustomUnified'!$O88,0)</f>
        <v>0</v>
      </c>
      <c r="AG88" s="220">
        <f>SUM('2025Sep1-2025Sep30CustomUnified'!$AE88:$AF88)</f>
        <v>139.89</v>
      </c>
      <c r="AH88" s="220">
        <f>IF('2025Sep1-2025Sep30CustomUnified'!$C88="order",'2025Sep1-2025Sep30CustomUnified'!$G88,0)</f>
        <v>1</v>
      </c>
      <c r="AI88" s="220">
        <f>IF('2025Sep1-2025Sep30CustomUnified'!$C88="refund",-'2025Sep1-2025Sep30CustomUnified'!$G88,0)</f>
        <v>0</v>
      </c>
      <c r="AJ88" s="220">
        <f>SUM('2025Sep1-2025Sep30CustomUnified'!$AH88:$AI88)</f>
        <v>1</v>
      </c>
      <c r="AK88" s="220">
        <f>'2025Sep1-2025Sep30CustomUnified'!$Z88</f>
        <v>-19.94</v>
      </c>
      <c r="AL88" s="220">
        <f>'2025Sep1-2025Sep30CustomUnified'!$AA88+'2025Sep1-2025Sep30CustomUnified'!$W88+'2025Sep1-2025Sep30CustomUnified'!$U88+'2025Sep1-2025Sep30CustomUnified'!$S88+'2025Sep1-2025Sep30CustomUnified'!$Q88</f>
        <v>-31.42</v>
      </c>
      <c r="AM88" s="220">
        <f>SUM('2025Sep1-2025Sep30CustomUnified'!$AB88:$AC88)</f>
        <v>0</v>
      </c>
      <c r="AN88" s="220">
        <f>SUM('2025Sep1-2025Sep30CustomUnified'!$AK88:$AM88)</f>
        <v>-51.36</v>
      </c>
      <c r="AO88" s="220">
        <f>'2025Sep1-2025Sep30CustomUnified'!$AG88+'2025Sep1-2025Sep30CustomUnified'!$AN88</f>
        <v>88.53</v>
      </c>
    </row>
    <row r="89" ht="15.75" hidden="1" customHeight="1">
      <c r="A89" s="220" t="s">
        <v>709</v>
      </c>
      <c r="B89" s="220">
        <v>2.4450080321E10</v>
      </c>
      <c r="C89" s="220" t="s">
        <v>443</v>
      </c>
      <c r="D89" s="220" t="s">
        <v>710</v>
      </c>
      <c r="E89" s="220" t="s">
        <v>398</v>
      </c>
      <c r="F89" s="220" t="s">
        <v>637</v>
      </c>
      <c r="G89" s="220">
        <v>2.0</v>
      </c>
      <c r="H89" s="220" t="s">
        <v>446</v>
      </c>
      <c r="I89" s="220" t="s">
        <v>447</v>
      </c>
      <c r="J89" s="220" t="s">
        <v>488</v>
      </c>
      <c r="K89" s="220" t="s">
        <v>711</v>
      </c>
      <c r="L89" s="220" t="s">
        <v>605</v>
      </c>
      <c r="M89" s="220">
        <v>80241.0</v>
      </c>
      <c r="N89" s="220" t="s">
        <v>451</v>
      </c>
      <c r="O89" s="220">
        <v>399.98</v>
      </c>
      <c r="P89" s="220">
        <v>34.0</v>
      </c>
      <c r="Q89" s="220">
        <v>0.0</v>
      </c>
      <c r="R89" s="220">
        <v>0.0</v>
      </c>
      <c r="S89" s="220">
        <v>0.0</v>
      </c>
      <c r="T89" s="220">
        <v>0.0</v>
      </c>
      <c r="U89" s="220">
        <v>0.0</v>
      </c>
      <c r="V89" s="220">
        <v>0.0</v>
      </c>
      <c r="W89" s="220">
        <v>0.0</v>
      </c>
      <c r="X89" s="220">
        <v>0.0</v>
      </c>
      <c r="Y89" s="220">
        <v>-34.0</v>
      </c>
      <c r="Z89" s="220">
        <v>-60.0</v>
      </c>
      <c r="AA89" s="220">
        <v>0.0</v>
      </c>
      <c r="AB89" s="220">
        <v>-0.1</v>
      </c>
      <c r="AC89" s="220">
        <v>0.0</v>
      </c>
      <c r="AD89" s="220">
        <v>339.88</v>
      </c>
      <c r="AE89" s="220">
        <f>IF('2025Sep1-2025Sep30CustomUnified'!$C89="order",'2025Sep1-2025Sep30CustomUnified'!$O89,0)</f>
        <v>399.98</v>
      </c>
      <c r="AF89" s="220">
        <f>IF('2025Sep1-2025Sep30CustomUnified'!$C89="refund",'2025Sep1-2025Sep30CustomUnified'!$O89,0)</f>
        <v>0</v>
      </c>
      <c r="AG89" s="220">
        <f>SUM('2025Sep1-2025Sep30CustomUnified'!$AE89:$AF89)</f>
        <v>399.98</v>
      </c>
      <c r="AH89" s="220">
        <f>IF('2025Sep1-2025Sep30CustomUnified'!$C89="order",'2025Sep1-2025Sep30CustomUnified'!$G89,0)</f>
        <v>2</v>
      </c>
      <c r="AI89" s="220">
        <f>IF('2025Sep1-2025Sep30CustomUnified'!$C89="refund",-'2025Sep1-2025Sep30CustomUnified'!$G89,0)</f>
        <v>0</v>
      </c>
      <c r="AJ89" s="220">
        <f>SUM('2025Sep1-2025Sep30CustomUnified'!$AH89:$AI89)</f>
        <v>2</v>
      </c>
      <c r="AK89" s="220">
        <f>'2025Sep1-2025Sep30CustomUnified'!$Z89</f>
        <v>-60</v>
      </c>
      <c r="AL89" s="220">
        <f>'2025Sep1-2025Sep30CustomUnified'!$AA89+'2025Sep1-2025Sep30CustomUnified'!$W89+'2025Sep1-2025Sep30CustomUnified'!$U89+'2025Sep1-2025Sep30CustomUnified'!$S89+'2025Sep1-2025Sep30CustomUnified'!$Q89</f>
        <v>0</v>
      </c>
      <c r="AM89" s="220">
        <f>SUM('2025Sep1-2025Sep30CustomUnified'!$AB89:$AC89)</f>
        <v>-0.1</v>
      </c>
      <c r="AN89" s="220">
        <f>SUM('2025Sep1-2025Sep30CustomUnified'!$AK89:$AM89)</f>
        <v>-60.1</v>
      </c>
      <c r="AO89" s="220">
        <f>'2025Sep1-2025Sep30CustomUnified'!$AG89+'2025Sep1-2025Sep30CustomUnified'!$AN89</f>
        <v>339.88</v>
      </c>
    </row>
    <row r="90" ht="15.75" hidden="1" customHeight="1">
      <c r="A90" s="220" t="s">
        <v>712</v>
      </c>
      <c r="B90" s="220">
        <v>2.4450080321E10</v>
      </c>
      <c r="C90" s="220" t="s">
        <v>443</v>
      </c>
      <c r="D90" s="220" t="s">
        <v>713</v>
      </c>
      <c r="E90" s="220" t="s">
        <v>227</v>
      </c>
      <c r="F90" s="220" t="s">
        <v>714</v>
      </c>
      <c r="G90" s="220">
        <v>1.0</v>
      </c>
      <c r="H90" s="220" t="s">
        <v>446</v>
      </c>
      <c r="I90" s="220" t="s">
        <v>447</v>
      </c>
      <c r="J90" s="220" t="s">
        <v>448</v>
      </c>
      <c r="K90" s="220" t="s">
        <v>715</v>
      </c>
      <c r="L90" s="220" t="s">
        <v>475</v>
      </c>
      <c r="M90" s="220">
        <v>32607.0</v>
      </c>
      <c r="N90" s="220" t="s">
        <v>451</v>
      </c>
      <c r="O90" s="220">
        <v>120.53</v>
      </c>
      <c r="P90" s="220">
        <v>9.04</v>
      </c>
      <c r="Q90" s="220">
        <v>0.0</v>
      </c>
      <c r="R90" s="220">
        <v>0.0</v>
      </c>
      <c r="S90" s="220">
        <v>0.0</v>
      </c>
      <c r="T90" s="220">
        <v>0.0</v>
      </c>
      <c r="U90" s="220">
        <v>0.0</v>
      </c>
      <c r="V90" s="220">
        <v>0.0</v>
      </c>
      <c r="W90" s="220">
        <v>0.0</v>
      </c>
      <c r="X90" s="220">
        <v>0.0</v>
      </c>
      <c r="Y90" s="220">
        <v>-9.04</v>
      </c>
      <c r="Z90" s="220">
        <v>-18.08</v>
      </c>
      <c r="AA90" s="220">
        <v>-24.43</v>
      </c>
      <c r="AB90" s="220">
        <v>0.0</v>
      </c>
      <c r="AC90" s="220">
        <v>0.0</v>
      </c>
      <c r="AD90" s="220">
        <v>78.02</v>
      </c>
      <c r="AE90" s="220">
        <f>IF('2025Sep1-2025Sep30CustomUnified'!$C90="order",'2025Sep1-2025Sep30CustomUnified'!$O90,0)</f>
        <v>120.53</v>
      </c>
      <c r="AF90" s="220">
        <f>IF('2025Sep1-2025Sep30CustomUnified'!$C90="refund",'2025Sep1-2025Sep30CustomUnified'!$O90,0)</f>
        <v>0</v>
      </c>
      <c r="AG90" s="220">
        <f>SUM('2025Sep1-2025Sep30CustomUnified'!$AE90:$AF90)</f>
        <v>120.53</v>
      </c>
      <c r="AH90" s="220">
        <f>IF('2025Sep1-2025Sep30CustomUnified'!$C90="order",'2025Sep1-2025Sep30CustomUnified'!$G90,0)</f>
        <v>1</v>
      </c>
      <c r="AI90" s="220">
        <f>IF('2025Sep1-2025Sep30CustomUnified'!$C90="refund",-'2025Sep1-2025Sep30CustomUnified'!$G90,0)</f>
        <v>0</v>
      </c>
      <c r="AJ90" s="220">
        <f>SUM('2025Sep1-2025Sep30CustomUnified'!$AH90:$AI90)</f>
        <v>1</v>
      </c>
      <c r="AK90" s="220">
        <f>'2025Sep1-2025Sep30CustomUnified'!$Z90</f>
        <v>-18.08</v>
      </c>
      <c r="AL90" s="220">
        <f>'2025Sep1-2025Sep30CustomUnified'!$AA90+'2025Sep1-2025Sep30CustomUnified'!$W90+'2025Sep1-2025Sep30CustomUnified'!$U90+'2025Sep1-2025Sep30CustomUnified'!$S90+'2025Sep1-2025Sep30CustomUnified'!$Q90</f>
        <v>-24.43</v>
      </c>
      <c r="AM90" s="220">
        <f>SUM('2025Sep1-2025Sep30CustomUnified'!$AB90:$AC90)</f>
        <v>0</v>
      </c>
      <c r="AN90" s="220">
        <f>SUM('2025Sep1-2025Sep30CustomUnified'!$AK90:$AM90)</f>
        <v>-42.51</v>
      </c>
      <c r="AO90" s="220">
        <f>'2025Sep1-2025Sep30CustomUnified'!$AG90+'2025Sep1-2025Sep30CustomUnified'!$AN90</f>
        <v>78.02</v>
      </c>
    </row>
    <row r="91" ht="15.75" hidden="1" customHeight="1">
      <c r="A91" s="220" t="s">
        <v>716</v>
      </c>
      <c r="B91" s="220">
        <v>2.4450080321E10</v>
      </c>
      <c r="C91" s="220" t="s">
        <v>443</v>
      </c>
      <c r="D91" s="220" t="s">
        <v>717</v>
      </c>
      <c r="E91" s="220" t="s">
        <v>394</v>
      </c>
      <c r="F91" s="220" t="s">
        <v>518</v>
      </c>
      <c r="G91" s="220">
        <v>1.0</v>
      </c>
      <c r="H91" s="220" t="s">
        <v>446</v>
      </c>
      <c r="I91" s="220" t="s">
        <v>447</v>
      </c>
      <c r="J91" s="220" t="s">
        <v>488</v>
      </c>
      <c r="K91" s="220" t="s">
        <v>718</v>
      </c>
      <c r="L91" s="220" t="s">
        <v>719</v>
      </c>
      <c r="M91" s="220">
        <v>93004.0</v>
      </c>
      <c r="N91" s="220" t="s">
        <v>451</v>
      </c>
      <c r="O91" s="220">
        <v>299.99</v>
      </c>
      <c r="P91" s="220">
        <v>23.25</v>
      </c>
      <c r="Q91" s="220">
        <v>0.0</v>
      </c>
      <c r="R91" s="220">
        <v>0.0</v>
      </c>
      <c r="S91" s="220">
        <v>0.0</v>
      </c>
      <c r="T91" s="220">
        <v>0.0</v>
      </c>
      <c r="U91" s="220">
        <v>0.0</v>
      </c>
      <c r="V91" s="220">
        <v>0.0</v>
      </c>
      <c r="W91" s="220">
        <v>0.0</v>
      </c>
      <c r="X91" s="220">
        <v>0.0</v>
      </c>
      <c r="Y91" s="220">
        <v>-23.25</v>
      </c>
      <c r="Z91" s="220">
        <v>-40.0</v>
      </c>
      <c r="AA91" s="220">
        <v>0.0</v>
      </c>
      <c r="AB91" s="220">
        <v>-0.05</v>
      </c>
      <c r="AC91" s="220">
        <v>0.0</v>
      </c>
      <c r="AD91" s="220">
        <v>259.94</v>
      </c>
      <c r="AE91" s="220">
        <f>IF('2025Sep1-2025Sep30CustomUnified'!$C91="order",'2025Sep1-2025Sep30CustomUnified'!$O91,0)</f>
        <v>299.99</v>
      </c>
      <c r="AF91" s="220">
        <f>IF('2025Sep1-2025Sep30CustomUnified'!$C91="refund",'2025Sep1-2025Sep30CustomUnified'!$O91,0)</f>
        <v>0</v>
      </c>
      <c r="AG91" s="220">
        <f>SUM('2025Sep1-2025Sep30CustomUnified'!$AE91:$AF91)</f>
        <v>299.99</v>
      </c>
      <c r="AH91" s="220">
        <f>IF('2025Sep1-2025Sep30CustomUnified'!$C91="order",'2025Sep1-2025Sep30CustomUnified'!$G91,0)</f>
        <v>1</v>
      </c>
      <c r="AI91" s="220">
        <f>IF('2025Sep1-2025Sep30CustomUnified'!$C91="refund",-'2025Sep1-2025Sep30CustomUnified'!$G91,0)</f>
        <v>0</v>
      </c>
      <c r="AJ91" s="220">
        <f>SUM('2025Sep1-2025Sep30CustomUnified'!$AH91:$AI91)</f>
        <v>1</v>
      </c>
      <c r="AK91" s="220">
        <f>'2025Sep1-2025Sep30CustomUnified'!$Z91</f>
        <v>-40</v>
      </c>
      <c r="AL91" s="220">
        <f>'2025Sep1-2025Sep30CustomUnified'!$AA91+'2025Sep1-2025Sep30CustomUnified'!$W91+'2025Sep1-2025Sep30CustomUnified'!$U91+'2025Sep1-2025Sep30CustomUnified'!$S91+'2025Sep1-2025Sep30CustomUnified'!$Q91</f>
        <v>0</v>
      </c>
      <c r="AM91" s="220">
        <f>SUM('2025Sep1-2025Sep30CustomUnified'!$AB91:$AC91)</f>
        <v>-0.05</v>
      </c>
      <c r="AN91" s="220">
        <f>SUM('2025Sep1-2025Sep30CustomUnified'!$AK91:$AM91)</f>
        <v>-40.05</v>
      </c>
      <c r="AO91" s="220">
        <f>'2025Sep1-2025Sep30CustomUnified'!$AG91+'2025Sep1-2025Sep30CustomUnified'!$AN91</f>
        <v>259.94</v>
      </c>
    </row>
    <row r="92" ht="15.75" hidden="1" customHeight="1">
      <c r="A92" s="220" t="s">
        <v>720</v>
      </c>
      <c r="B92" s="220">
        <v>2.4450080321E10</v>
      </c>
      <c r="C92" s="220" t="s">
        <v>443</v>
      </c>
      <c r="D92" s="220" t="s">
        <v>721</v>
      </c>
      <c r="E92" s="220" t="s">
        <v>386</v>
      </c>
      <c r="F92" s="220" t="s">
        <v>722</v>
      </c>
      <c r="G92" s="220">
        <v>1.0</v>
      </c>
      <c r="H92" s="220" t="s">
        <v>446</v>
      </c>
      <c r="I92" s="220" t="s">
        <v>447</v>
      </c>
      <c r="J92" s="220" t="s">
        <v>488</v>
      </c>
      <c r="K92" s="220" t="s">
        <v>723</v>
      </c>
      <c r="L92" s="220" t="s">
        <v>460</v>
      </c>
      <c r="M92" s="220">
        <v>11106.0</v>
      </c>
      <c r="N92" s="220" t="s">
        <v>451</v>
      </c>
      <c r="O92" s="220">
        <v>323.99</v>
      </c>
      <c r="P92" s="220">
        <v>28.75</v>
      </c>
      <c r="Q92" s="220">
        <v>0.0</v>
      </c>
      <c r="R92" s="220">
        <v>0.0</v>
      </c>
      <c r="S92" s="220">
        <v>0.0</v>
      </c>
      <c r="T92" s="220">
        <v>0.0</v>
      </c>
      <c r="U92" s="220">
        <v>0.0</v>
      </c>
      <c r="V92" s="220">
        <v>0.0</v>
      </c>
      <c r="W92" s="220">
        <v>0.0</v>
      </c>
      <c r="X92" s="220">
        <v>0.0</v>
      </c>
      <c r="Y92" s="220">
        <v>-28.75</v>
      </c>
      <c r="Z92" s="220">
        <v>-42.4</v>
      </c>
      <c r="AA92" s="220">
        <v>0.0</v>
      </c>
      <c r="AB92" s="220">
        <v>-0.05</v>
      </c>
      <c r="AC92" s="220">
        <v>0.0</v>
      </c>
      <c r="AD92" s="220">
        <v>281.54</v>
      </c>
      <c r="AE92" s="220">
        <f>IF('2025Sep1-2025Sep30CustomUnified'!$C92="order",'2025Sep1-2025Sep30CustomUnified'!$O92,0)</f>
        <v>323.99</v>
      </c>
      <c r="AF92" s="220">
        <f>IF('2025Sep1-2025Sep30CustomUnified'!$C92="refund",'2025Sep1-2025Sep30CustomUnified'!$O92,0)</f>
        <v>0</v>
      </c>
      <c r="AG92" s="220">
        <f>SUM('2025Sep1-2025Sep30CustomUnified'!$AE92:$AF92)</f>
        <v>323.99</v>
      </c>
      <c r="AH92" s="220">
        <f>IF('2025Sep1-2025Sep30CustomUnified'!$C92="order",'2025Sep1-2025Sep30CustomUnified'!$G92,0)</f>
        <v>1</v>
      </c>
      <c r="AI92" s="220">
        <f>IF('2025Sep1-2025Sep30CustomUnified'!$C92="refund",-'2025Sep1-2025Sep30CustomUnified'!$G92,0)</f>
        <v>0</v>
      </c>
      <c r="AJ92" s="220">
        <f>SUM('2025Sep1-2025Sep30CustomUnified'!$AH92:$AI92)</f>
        <v>1</v>
      </c>
      <c r="AK92" s="220">
        <f>'2025Sep1-2025Sep30CustomUnified'!$Z92</f>
        <v>-42.4</v>
      </c>
      <c r="AL92" s="220">
        <f>'2025Sep1-2025Sep30CustomUnified'!$AA92+'2025Sep1-2025Sep30CustomUnified'!$W92+'2025Sep1-2025Sep30CustomUnified'!$U92+'2025Sep1-2025Sep30CustomUnified'!$S92+'2025Sep1-2025Sep30CustomUnified'!$Q92</f>
        <v>0</v>
      </c>
      <c r="AM92" s="220">
        <f>SUM('2025Sep1-2025Sep30CustomUnified'!$AB92:$AC92)</f>
        <v>-0.05</v>
      </c>
      <c r="AN92" s="220">
        <f>SUM('2025Sep1-2025Sep30CustomUnified'!$AK92:$AM92)</f>
        <v>-42.45</v>
      </c>
      <c r="AO92" s="220">
        <f>'2025Sep1-2025Sep30CustomUnified'!$AG92+'2025Sep1-2025Sep30CustomUnified'!$AN92</f>
        <v>281.54</v>
      </c>
    </row>
    <row r="93" ht="15.75" hidden="1" customHeight="1">
      <c r="A93" s="220" t="s">
        <v>724</v>
      </c>
      <c r="B93" s="220">
        <v>2.4450080321E10</v>
      </c>
      <c r="C93" s="220" t="s">
        <v>443</v>
      </c>
      <c r="D93" s="220" t="s">
        <v>725</v>
      </c>
      <c r="E93" s="220" t="s">
        <v>224</v>
      </c>
      <c r="F93" s="220" t="s">
        <v>495</v>
      </c>
      <c r="G93" s="220">
        <v>1.0</v>
      </c>
      <c r="H93" s="220" t="s">
        <v>446</v>
      </c>
      <c r="I93" s="220" t="s">
        <v>447</v>
      </c>
      <c r="J93" s="220" t="s">
        <v>448</v>
      </c>
      <c r="K93" s="220" t="s">
        <v>726</v>
      </c>
      <c r="L93" s="220" t="s">
        <v>455</v>
      </c>
      <c r="M93" s="220">
        <v>92203.0</v>
      </c>
      <c r="N93" s="220" t="s">
        <v>451</v>
      </c>
      <c r="O93" s="220">
        <v>110.69</v>
      </c>
      <c r="P93" s="220">
        <v>9.69</v>
      </c>
      <c r="Q93" s="220">
        <v>0.0</v>
      </c>
      <c r="R93" s="220">
        <v>0.0</v>
      </c>
      <c r="S93" s="220">
        <v>0.0</v>
      </c>
      <c r="T93" s="220">
        <v>0.0</v>
      </c>
      <c r="U93" s="220">
        <v>0.0</v>
      </c>
      <c r="V93" s="220">
        <v>0.0</v>
      </c>
      <c r="W93" s="220">
        <v>0.0</v>
      </c>
      <c r="X93" s="220">
        <v>0.0</v>
      </c>
      <c r="Y93" s="220">
        <v>-9.69</v>
      </c>
      <c r="Z93" s="220">
        <v>-16.6</v>
      </c>
      <c r="AA93" s="220">
        <v>-16.45</v>
      </c>
      <c r="AB93" s="220">
        <v>0.0</v>
      </c>
      <c r="AC93" s="220">
        <v>0.0</v>
      </c>
      <c r="AD93" s="220">
        <v>77.64</v>
      </c>
      <c r="AE93" s="220">
        <f>IF('2025Sep1-2025Sep30CustomUnified'!$C93="order",'2025Sep1-2025Sep30CustomUnified'!$O93,0)</f>
        <v>110.69</v>
      </c>
      <c r="AF93" s="220">
        <f>IF('2025Sep1-2025Sep30CustomUnified'!$C93="refund",'2025Sep1-2025Sep30CustomUnified'!$O93,0)</f>
        <v>0</v>
      </c>
      <c r="AG93" s="220">
        <f>SUM('2025Sep1-2025Sep30CustomUnified'!$AE93:$AF93)</f>
        <v>110.69</v>
      </c>
      <c r="AH93" s="220">
        <f>IF('2025Sep1-2025Sep30CustomUnified'!$C93="order",'2025Sep1-2025Sep30CustomUnified'!$G93,0)</f>
        <v>1</v>
      </c>
      <c r="AI93" s="220">
        <f>IF('2025Sep1-2025Sep30CustomUnified'!$C93="refund",-'2025Sep1-2025Sep30CustomUnified'!$G93,0)</f>
        <v>0</v>
      </c>
      <c r="AJ93" s="220">
        <f>SUM('2025Sep1-2025Sep30CustomUnified'!$AH93:$AI93)</f>
        <v>1</v>
      </c>
      <c r="AK93" s="220">
        <f>'2025Sep1-2025Sep30CustomUnified'!$Z93</f>
        <v>-16.6</v>
      </c>
      <c r="AL93" s="220">
        <f>'2025Sep1-2025Sep30CustomUnified'!$AA93+'2025Sep1-2025Sep30CustomUnified'!$W93+'2025Sep1-2025Sep30CustomUnified'!$U93+'2025Sep1-2025Sep30CustomUnified'!$S93+'2025Sep1-2025Sep30CustomUnified'!$Q93</f>
        <v>-16.45</v>
      </c>
      <c r="AM93" s="220">
        <f>SUM('2025Sep1-2025Sep30CustomUnified'!$AB93:$AC93)</f>
        <v>0</v>
      </c>
      <c r="AN93" s="220">
        <f>SUM('2025Sep1-2025Sep30CustomUnified'!$AK93:$AM93)</f>
        <v>-33.05</v>
      </c>
      <c r="AO93" s="220">
        <f>'2025Sep1-2025Sep30CustomUnified'!$AG93+'2025Sep1-2025Sep30CustomUnified'!$AN93</f>
        <v>77.64</v>
      </c>
    </row>
    <row r="94" ht="15.75" hidden="1" customHeight="1">
      <c r="A94" s="220" t="s">
        <v>727</v>
      </c>
      <c r="B94" s="220">
        <v>2.4450080321E10</v>
      </c>
      <c r="C94" s="220" t="s">
        <v>466</v>
      </c>
      <c r="D94" s="220" t="s">
        <v>646</v>
      </c>
      <c r="E94" s="220" t="s">
        <v>388</v>
      </c>
      <c r="F94" s="220" t="s">
        <v>647</v>
      </c>
      <c r="G94" s="220">
        <v>1.0</v>
      </c>
      <c r="H94" s="220" t="s">
        <v>446</v>
      </c>
      <c r="I94" s="220" t="s">
        <v>447</v>
      </c>
      <c r="J94" s="220" t="s">
        <v>448</v>
      </c>
      <c r="K94" s="220" t="s">
        <v>648</v>
      </c>
      <c r="L94" s="220" t="s">
        <v>455</v>
      </c>
      <c r="M94" s="220">
        <v>92078.0</v>
      </c>
      <c r="N94" s="220" t="s">
        <v>451</v>
      </c>
      <c r="O94" s="220">
        <v>-429.99</v>
      </c>
      <c r="P94" s="220">
        <v>-37.62</v>
      </c>
      <c r="Q94" s="220">
        <v>0.0</v>
      </c>
      <c r="R94" s="220">
        <v>0.0</v>
      </c>
      <c r="S94" s="220">
        <v>0.0</v>
      </c>
      <c r="T94" s="220">
        <v>0.0</v>
      </c>
      <c r="U94" s="220">
        <v>0.0</v>
      </c>
      <c r="V94" s="220">
        <v>0.0</v>
      </c>
      <c r="W94" s="220">
        <v>0.0</v>
      </c>
      <c r="X94" s="220">
        <v>0.0</v>
      </c>
      <c r="Y94" s="220">
        <v>37.62</v>
      </c>
      <c r="Z94" s="220">
        <v>48.0</v>
      </c>
      <c r="AA94" s="220">
        <v>0.0</v>
      </c>
      <c r="AB94" s="220">
        <v>0.0</v>
      </c>
      <c r="AC94" s="220">
        <v>0.0</v>
      </c>
      <c r="AD94" s="220">
        <v>-381.99</v>
      </c>
      <c r="AE94" s="220">
        <f>IF('2025Sep1-2025Sep30CustomUnified'!$C94="order",'2025Sep1-2025Sep30CustomUnified'!$O94,0)</f>
        <v>0</v>
      </c>
      <c r="AF94" s="220">
        <f>IF('2025Sep1-2025Sep30CustomUnified'!$C94="refund",'2025Sep1-2025Sep30CustomUnified'!$O94,0)</f>
        <v>-429.99</v>
      </c>
      <c r="AG94" s="220">
        <f>SUM('2025Sep1-2025Sep30CustomUnified'!$AE94:$AF94)</f>
        <v>-429.99</v>
      </c>
      <c r="AH94" s="220">
        <f>IF('2025Sep1-2025Sep30CustomUnified'!$C94="order",'2025Sep1-2025Sep30CustomUnified'!$G94,0)</f>
        <v>0</v>
      </c>
      <c r="AI94" s="220">
        <f>IF('2025Sep1-2025Sep30CustomUnified'!$C94="refund",-'2025Sep1-2025Sep30CustomUnified'!$G94,0)</f>
        <v>-1</v>
      </c>
      <c r="AJ94" s="220">
        <f>SUM('2025Sep1-2025Sep30CustomUnified'!$AH94:$AI94)</f>
        <v>-1</v>
      </c>
      <c r="AK94" s="220">
        <f>'2025Sep1-2025Sep30CustomUnified'!$Z94</f>
        <v>48</v>
      </c>
      <c r="AL94" s="220">
        <f>'2025Sep1-2025Sep30CustomUnified'!$AA94+'2025Sep1-2025Sep30CustomUnified'!$W94+'2025Sep1-2025Sep30CustomUnified'!$U94+'2025Sep1-2025Sep30CustomUnified'!$S94+'2025Sep1-2025Sep30CustomUnified'!$Q94</f>
        <v>0</v>
      </c>
      <c r="AM94" s="220">
        <f>SUM('2025Sep1-2025Sep30CustomUnified'!$AB94:$AC94)</f>
        <v>0</v>
      </c>
      <c r="AN94" s="220">
        <f>SUM('2025Sep1-2025Sep30CustomUnified'!$AK94:$AM94)</f>
        <v>48</v>
      </c>
      <c r="AO94" s="220">
        <f>'2025Sep1-2025Sep30CustomUnified'!$AG94+'2025Sep1-2025Sep30CustomUnified'!$AN94</f>
        <v>-381.99</v>
      </c>
    </row>
    <row r="95" ht="15.75" customHeight="1">
      <c r="A95" s="220" t="s">
        <v>728</v>
      </c>
      <c r="B95" s="220">
        <v>2.4450080321E10</v>
      </c>
      <c r="C95" s="220" t="s">
        <v>443</v>
      </c>
      <c r="D95" s="220" t="s">
        <v>729</v>
      </c>
      <c r="E95" s="220" t="s">
        <v>225</v>
      </c>
      <c r="F95" s="220" t="s">
        <v>468</v>
      </c>
      <c r="G95" s="220">
        <v>1.0</v>
      </c>
      <c r="H95" s="220" t="s">
        <v>446</v>
      </c>
      <c r="I95" s="220" t="s">
        <v>447</v>
      </c>
      <c r="J95" s="220" t="s">
        <v>448</v>
      </c>
      <c r="K95" s="220" t="s">
        <v>730</v>
      </c>
      <c r="L95" s="220" t="s">
        <v>503</v>
      </c>
      <c r="M95" s="220">
        <v>61109.0</v>
      </c>
      <c r="N95" s="220" t="s">
        <v>451</v>
      </c>
      <c r="O95" s="220">
        <v>123.47</v>
      </c>
      <c r="P95" s="220">
        <v>9.57</v>
      </c>
      <c r="Q95" s="220">
        <v>0.0</v>
      </c>
      <c r="R95" s="220">
        <v>0.0</v>
      </c>
      <c r="S95" s="220">
        <v>0.0</v>
      </c>
      <c r="T95" s="220">
        <v>0.0</v>
      </c>
      <c r="U95" s="220">
        <v>0.0</v>
      </c>
      <c r="V95" s="220">
        <v>0.0</v>
      </c>
      <c r="W95" s="220">
        <v>0.0</v>
      </c>
      <c r="X95" s="220">
        <v>0.0</v>
      </c>
      <c r="Y95" s="220">
        <v>-9.57</v>
      </c>
      <c r="Z95" s="220">
        <v>-18.52</v>
      </c>
      <c r="AA95" s="220">
        <v>-25.95</v>
      </c>
      <c r="AB95" s="220">
        <v>0.0</v>
      </c>
      <c r="AC95" s="220">
        <v>0.0</v>
      </c>
      <c r="AD95" s="220">
        <v>79.0</v>
      </c>
      <c r="AE95" s="220">
        <f>IF('2025Sep1-2025Sep30CustomUnified'!$C95="order",'2025Sep1-2025Sep30CustomUnified'!$O95,0)</f>
        <v>123.47</v>
      </c>
      <c r="AF95" s="220">
        <f>IF('2025Sep1-2025Sep30CustomUnified'!$C95="refund",'2025Sep1-2025Sep30CustomUnified'!$O95,0)</f>
        <v>0</v>
      </c>
      <c r="AG95" s="220">
        <f>SUM('2025Sep1-2025Sep30CustomUnified'!$AE95:$AF95)</f>
        <v>123.47</v>
      </c>
      <c r="AH95" s="220">
        <f>IF('2025Sep1-2025Sep30CustomUnified'!$C95="order",'2025Sep1-2025Sep30CustomUnified'!$G95,0)</f>
        <v>1</v>
      </c>
      <c r="AI95" s="220">
        <f>IF('2025Sep1-2025Sep30CustomUnified'!$C95="refund",-'2025Sep1-2025Sep30CustomUnified'!$G95,0)</f>
        <v>0</v>
      </c>
      <c r="AJ95" s="220">
        <f>SUM('2025Sep1-2025Sep30CustomUnified'!$AH95:$AI95)</f>
        <v>1</v>
      </c>
      <c r="AK95" s="220">
        <f>'2025Sep1-2025Sep30CustomUnified'!$Z95</f>
        <v>-18.52</v>
      </c>
      <c r="AL95" s="220">
        <f>'2025Sep1-2025Sep30CustomUnified'!$AA95+'2025Sep1-2025Sep30CustomUnified'!$W95+'2025Sep1-2025Sep30CustomUnified'!$U95+'2025Sep1-2025Sep30CustomUnified'!$S95+'2025Sep1-2025Sep30CustomUnified'!$Q95</f>
        <v>-25.95</v>
      </c>
      <c r="AM95" s="220">
        <f>SUM('2025Sep1-2025Sep30CustomUnified'!$AB95:$AC95)</f>
        <v>0</v>
      </c>
      <c r="AN95" s="220">
        <f>SUM('2025Sep1-2025Sep30CustomUnified'!$AK95:$AM95)</f>
        <v>-44.47</v>
      </c>
      <c r="AO95" s="220">
        <f>'2025Sep1-2025Sep30CustomUnified'!$AG95+'2025Sep1-2025Sep30CustomUnified'!$AN95</f>
        <v>79</v>
      </c>
    </row>
    <row r="96" ht="15.75" customHeight="1">
      <c r="A96" s="220" t="s">
        <v>731</v>
      </c>
      <c r="B96" s="220">
        <v>2.4450080321E10</v>
      </c>
      <c r="C96" s="220" t="s">
        <v>443</v>
      </c>
      <c r="D96" s="220" t="s">
        <v>732</v>
      </c>
      <c r="E96" s="220" t="s">
        <v>225</v>
      </c>
      <c r="F96" s="220" t="s">
        <v>468</v>
      </c>
      <c r="G96" s="220">
        <v>1.0</v>
      </c>
      <c r="H96" s="220" t="s">
        <v>446</v>
      </c>
      <c r="I96" s="220" t="s">
        <v>447</v>
      </c>
      <c r="J96" s="220" t="s">
        <v>448</v>
      </c>
      <c r="K96" s="220" t="s">
        <v>733</v>
      </c>
      <c r="L96" s="220" t="s">
        <v>480</v>
      </c>
      <c r="M96" s="220">
        <v>31021.0</v>
      </c>
      <c r="N96" s="220" t="s">
        <v>451</v>
      </c>
      <c r="O96" s="220">
        <v>123.47</v>
      </c>
      <c r="P96" s="220">
        <v>8.89</v>
      </c>
      <c r="Q96" s="220">
        <v>0.0</v>
      </c>
      <c r="R96" s="220">
        <v>0.0</v>
      </c>
      <c r="S96" s="220">
        <v>0.0</v>
      </c>
      <c r="T96" s="220">
        <v>0.0</v>
      </c>
      <c r="U96" s="220">
        <v>0.0</v>
      </c>
      <c r="V96" s="220">
        <v>0.0</v>
      </c>
      <c r="W96" s="220">
        <v>-12.35</v>
      </c>
      <c r="X96" s="220">
        <v>0.0</v>
      </c>
      <c r="Y96" s="220">
        <v>-8.89</v>
      </c>
      <c r="Z96" s="220">
        <v>-16.67</v>
      </c>
      <c r="AA96" s="220">
        <v>-25.95</v>
      </c>
      <c r="AB96" s="220">
        <v>0.0</v>
      </c>
      <c r="AC96" s="220">
        <v>0.0</v>
      </c>
      <c r="AD96" s="220">
        <v>68.5</v>
      </c>
      <c r="AE96" s="220">
        <f>IF('2025Sep1-2025Sep30CustomUnified'!$C96="order",'2025Sep1-2025Sep30CustomUnified'!$O96,0)</f>
        <v>123.47</v>
      </c>
      <c r="AF96" s="220">
        <f>IF('2025Sep1-2025Sep30CustomUnified'!$C96="refund",'2025Sep1-2025Sep30CustomUnified'!$O96,0)</f>
        <v>0</v>
      </c>
      <c r="AG96" s="220">
        <f>SUM('2025Sep1-2025Sep30CustomUnified'!$AE96:$AF96)</f>
        <v>123.47</v>
      </c>
      <c r="AH96" s="220">
        <f>IF('2025Sep1-2025Sep30CustomUnified'!$C96="order",'2025Sep1-2025Sep30CustomUnified'!$G96,0)</f>
        <v>1</v>
      </c>
      <c r="AI96" s="220">
        <f>IF('2025Sep1-2025Sep30CustomUnified'!$C96="refund",-'2025Sep1-2025Sep30CustomUnified'!$G96,0)</f>
        <v>0</v>
      </c>
      <c r="AJ96" s="220">
        <f>SUM('2025Sep1-2025Sep30CustomUnified'!$AH96:$AI96)</f>
        <v>1</v>
      </c>
      <c r="AK96" s="220">
        <f>'2025Sep1-2025Sep30CustomUnified'!$Z96</f>
        <v>-16.67</v>
      </c>
      <c r="AL96" s="220">
        <f>'2025Sep1-2025Sep30CustomUnified'!$AA96+'2025Sep1-2025Sep30CustomUnified'!$W96+'2025Sep1-2025Sep30CustomUnified'!$U96+'2025Sep1-2025Sep30CustomUnified'!$S96+'2025Sep1-2025Sep30CustomUnified'!$Q96</f>
        <v>-38.3</v>
      </c>
      <c r="AM96" s="220">
        <f>SUM('2025Sep1-2025Sep30CustomUnified'!$AB96:$AC96)</f>
        <v>0</v>
      </c>
      <c r="AN96" s="220">
        <f>SUM('2025Sep1-2025Sep30CustomUnified'!$AK96:$AM96)</f>
        <v>-54.97</v>
      </c>
      <c r="AO96" s="220">
        <f>'2025Sep1-2025Sep30CustomUnified'!$AG96+'2025Sep1-2025Sep30CustomUnified'!$AN96</f>
        <v>68.5</v>
      </c>
    </row>
    <row r="97" ht="15.75" hidden="1" customHeight="1">
      <c r="A97" s="220" t="s">
        <v>734</v>
      </c>
      <c r="B97" s="220">
        <v>2.4450080321E10</v>
      </c>
      <c r="C97" s="220" t="s">
        <v>443</v>
      </c>
      <c r="D97" s="220" t="s">
        <v>735</v>
      </c>
      <c r="E97" s="220" t="s">
        <v>227</v>
      </c>
      <c r="F97" s="220" t="s">
        <v>714</v>
      </c>
      <c r="G97" s="220">
        <v>1.0</v>
      </c>
      <c r="H97" s="220" t="s">
        <v>446</v>
      </c>
      <c r="I97" s="220" t="s">
        <v>447</v>
      </c>
      <c r="J97" s="220" t="s">
        <v>448</v>
      </c>
      <c r="K97" s="220" t="s">
        <v>736</v>
      </c>
      <c r="L97" s="220" t="s">
        <v>642</v>
      </c>
      <c r="M97" s="220">
        <v>96707.0</v>
      </c>
      <c r="N97" s="220" t="s">
        <v>451</v>
      </c>
      <c r="O97" s="220">
        <v>120.53</v>
      </c>
      <c r="P97" s="220">
        <v>5.68</v>
      </c>
      <c r="Q97" s="220">
        <v>0.0</v>
      </c>
      <c r="R97" s="220">
        <v>0.0</v>
      </c>
      <c r="S97" s="220">
        <v>0.0</v>
      </c>
      <c r="T97" s="220">
        <v>0.0</v>
      </c>
      <c r="U97" s="220">
        <v>0.0</v>
      </c>
      <c r="V97" s="220">
        <v>0.0</v>
      </c>
      <c r="W97" s="220">
        <v>0.0</v>
      </c>
      <c r="X97" s="220">
        <v>0.0</v>
      </c>
      <c r="Y97" s="220">
        <v>-5.68</v>
      </c>
      <c r="Z97" s="220">
        <v>-18.08</v>
      </c>
      <c r="AA97" s="220">
        <v>-24.43</v>
      </c>
      <c r="AB97" s="220">
        <v>0.0</v>
      </c>
      <c r="AC97" s="220">
        <v>0.0</v>
      </c>
      <c r="AD97" s="220">
        <v>78.02</v>
      </c>
      <c r="AE97" s="220">
        <f>IF('2025Sep1-2025Sep30CustomUnified'!$C97="order",'2025Sep1-2025Sep30CustomUnified'!$O97,0)</f>
        <v>120.53</v>
      </c>
      <c r="AF97" s="220">
        <f>IF('2025Sep1-2025Sep30CustomUnified'!$C97="refund",'2025Sep1-2025Sep30CustomUnified'!$O97,0)</f>
        <v>0</v>
      </c>
      <c r="AG97" s="220">
        <f>SUM('2025Sep1-2025Sep30CustomUnified'!$AE97:$AF97)</f>
        <v>120.53</v>
      </c>
      <c r="AH97" s="220">
        <f>IF('2025Sep1-2025Sep30CustomUnified'!$C97="order",'2025Sep1-2025Sep30CustomUnified'!$G97,0)</f>
        <v>1</v>
      </c>
      <c r="AI97" s="220">
        <f>IF('2025Sep1-2025Sep30CustomUnified'!$C97="refund",-'2025Sep1-2025Sep30CustomUnified'!$G97,0)</f>
        <v>0</v>
      </c>
      <c r="AJ97" s="220">
        <f>SUM('2025Sep1-2025Sep30CustomUnified'!$AH97:$AI97)</f>
        <v>1</v>
      </c>
      <c r="AK97" s="220">
        <f>'2025Sep1-2025Sep30CustomUnified'!$Z97</f>
        <v>-18.08</v>
      </c>
      <c r="AL97" s="220">
        <f>'2025Sep1-2025Sep30CustomUnified'!$AA97+'2025Sep1-2025Sep30CustomUnified'!$W97+'2025Sep1-2025Sep30CustomUnified'!$U97+'2025Sep1-2025Sep30CustomUnified'!$S97+'2025Sep1-2025Sep30CustomUnified'!$Q97</f>
        <v>-24.43</v>
      </c>
      <c r="AM97" s="220">
        <f>SUM('2025Sep1-2025Sep30CustomUnified'!$AB97:$AC97)</f>
        <v>0</v>
      </c>
      <c r="AN97" s="220">
        <f>SUM('2025Sep1-2025Sep30CustomUnified'!$AK97:$AM97)</f>
        <v>-42.51</v>
      </c>
      <c r="AO97" s="220">
        <f>'2025Sep1-2025Sep30CustomUnified'!$AG97+'2025Sep1-2025Sep30CustomUnified'!$AN97</f>
        <v>78.02</v>
      </c>
    </row>
    <row r="98" ht="15.75" hidden="1" customHeight="1">
      <c r="A98" s="220" t="s">
        <v>737</v>
      </c>
      <c r="B98" s="220">
        <v>2.4450080321E10</v>
      </c>
      <c r="C98" s="220" t="s">
        <v>466</v>
      </c>
      <c r="D98" s="220" t="s">
        <v>701</v>
      </c>
      <c r="E98" s="220" t="s">
        <v>224</v>
      </c>
      <c r="F98" s="220" t="s">
        <v>495</v>
      </c>
      <c r="G98" s="220">
        <v>1.0</v>
      </c>
      <c r="H98" s="220" t="s">
        <v>446</v>
      </c>
      <c r="I98" s="220" t="s">
        <v>447</v>
      </c>
      <c r="J98" s="220" t="s">
        <v>448</v>
      </c>
      <c r="K98" s="220" t="s">
        <v>702</v>
      </c>
      <c r="L98" s="220" t="s">
        <v>455</v>
      </c>
      <c r="M98" s="220">
        <v>94089.0</v>
      </c>
      <c r="N98" s="220" t="s">
        <v>451</v>
      </c>
      <c r="O98" s="220">
        <v>-110.69</v>
      </c>
      <c r="P98" s="220">
        <v>-10.1</v>
      </c>
      <c r="Q98" s="220">
        <v>0.0</v>
      </c>
      <c r="R98" s="220">
        <v>0.0</v>
      </c>
      <c r="S98" s="220">
        <v>0.0</v>
      </c>
      <c r="T98" s="220">
        <v>0.0</v>
      </c>
      <c r="U98" s="220">
        <v>0.0</v>
      </c>
      <c r="V98" s="220">
        <v>0.0</v>
      </c>
      <c r="W98" s="220">
        <v>0.0</v>
      </c>
      <c r="X98" s="220">
        <v>0.0</v>
      </c>
      <c r="Y98" s="220">
        <v>10.1</v>
      </c>
      <c r="Z98" s="220">
        <v>13.28</v>
      </c>
      <c r="AA98" s="220">
        <v>0.0</v>
      </c>
      <c r="AB98" s="220">
        <v>0.0</v>
      </c>
      <c r="AC98" s="220">
        <v>0.0</v>
      </c>
      <c r="AD98" s="220">
        <v>-97.41</v>
      </c>
      <c r="AE98" s="220">
        <f>IF('2025Sep1-2025Sep30CustomUnified'!$C98="order",'2025Sep1-2025Sep30CustomUnified'!$O98,0)</f>
        <v>0</v>
      </c>
      <c r="AF98" s="220">
        <f>IF('2025Sep1-2025Sep30CustomUnified'!$C98="refund",'2025Sep1-2025Sep30CustomUnified'!$O98,0)</f>
        <v>-110.69</v>
      </c>
      <c r="AG98" s="220">
        <f>SUM('2025Sep1-2025Sep30CustomUnified'!$AE98:$AF98)</f>
        <v>-110.69</v>
      </c>
      <c r="AH98" s="220">
        <f>IF('2025Sep1-2025Sep30CustomUnified'!$C98="order",'2025Sep1-2025Sep30CustomUnified'!$G98,0)</f>
        <v>0</v>
      </c>
      <c r="AI98" s="220">
        <f>IF('2025Sep1-2025Sep30CustomUnified'!$C98="refund",-'2025Sep1-2025Sep30CustomUnified'!$G98,0)</f>
        <v>-1</v>
      </c>
      <c r="AJ98" s="220">
        <f>SUM('2025Sep1-2025Sep30CustomUnified'!$AH98:$AI98)</f>
        <v>-1</v>
      </c>
      <c r="AK98" s="220">
        <f>'2025Sep1-2025Sep30CustomUnified'!$Z98</f>
        <v>13.28</v>
      </c>
      <c r="AL98" s="220">
        <f>'2025Sep1-2025Sep30CustomUnified'!$AA98+'2025Sep1-2025Sep30CustomUnified'!$W98+'2025Sep1-2025Sep30CustomUnified'!$U98+'2025Sep1-2025Sep30CustomUnified'!$S98+'2025Sep1-2025Sep30CustomUnified'!$Q98</f>
        <v>0</v>
      </c>
      <c r="AM98" s="220">
        <f>SUM('2025Sep1-2025Sep30CustomUnified'!$AB98:$AC98)</f>
        <v>0</v>
      </c>
      <c r="AN98" s="220">
        <f>SUM('2025Sep1-2025Sep30CustomUnified'!$AK98:$AM98)</f>
        <v>13.28</v>
      </c>
      <c r="AO98" s="220">
        <f>'2025Sep1-2025Sep30CustomUnified'!$AG98+'2025Sep1-2025Sep30CustomUnified'!$AN98</f>
        <v>-97.41</v>
      </c>
    </row>
    <row r="99" ht="15.75" hidden="1" customHeight="1">
      <c r="A99" s="220" t="s">
        <v>738</v>
      </c>
      <c r="B99" s="220">
        <v>2.4450080321E10</v>
      </c>
      <c r="C99" s="220" t="s">
        <v>443</v>
      </c>
      <c r="D99" s="220" t="s">
        <v>739</v>
      </c>
      <c r="E99" s="220" t="s">
        <v>222</v>
      </c>
      <c r="F99" s="220" t="s">
        <v>445</v>
      </c>
      <c r="G99" s="220">
        <v>1.0</v>
      </c>
      <c r="H99" s="220" t="s">
        <v>446</v>
      </c>
      <c r="I99" s="220" t="s">
        <v>447</v>
      </c>
      <c r="J99" s="220" t="s">
        <v>448</v>
      </c>
      <c r="K99" s="220" t="s">
        <v>740</v>
      </c>
      <c r="L99" s="220" t="s">
        <v>460</v>
      </c>
      <c r="M99" s="220">
        <v>11561.0</v>
      </c>
      <c r="N99" s="220" t="s">
        <v>451</v>
      </c>
      <c r="O99" s="220">
        <v>110.69</v>
      </c>
      <c r="P99" s="220">
        <v>9.55</v>
      </c>
      <c r="Q99" s="220">
        <v>0.0</v>
      </c>
      <c r="R99" s="220">
        <v>0.0</v>
      </c>
      <c r="S99" s="220">
        <v>0.0</v>
      </c>
      <c r="T99" s="220">
        <v>0.0</v>
      </c>
      <c r="U99" s="220">
        <v>0.0</v>
      </c>
      <c r="V99" s="220">
        <v>0.0</v>
      </c>
      <c r="W99" s="220">
        <v>0.0</v>
      </c>
      <c r="X99" s="220">
        <v>0.0</v>
      </c>
      <c r="Y99" s="220">
        <v>-9.55</v>
      </c>
      <c r="Z99" s="220">
        <v>-16.6</v>
      </c>
      <c r="AA99" s="220">
        <v>-16.45</v>
      </c>
      <c r="AB99" s="220">
        <v>0.0</v>
      </c>
      <c r="AC99" s="220">
        <v>0.0</v>
      </c>
      <c r="AD99" s="220">
        <v>77.64</v>
      </c>
      <c r="AE99" s="220">
        <f>IF('2025Sep1-2025Sep30CustomUnified'!$C99="order",'2025Sep1-2025Sep30CustomUnified'!$O99,0)</f>
        <v>110.69</v>
      </c>
      <c r="AF99" s="220">
        <f>IF('2025Sep1-2025Sep30CustomUnified'!$C99="refund",'2025Sep1-2025Sep30CustomUnified'!$O99,0)</f>
        <v>0</v>
      </c>
      <c r="AG99" s="220">
        <f>SUM('2025Sep1-2025Sep30CustomUnified'!$AE99:$AF99)</f>
        <v>110.69</v>
      </c>
      <c r="AH99" s="220">
        <f>IF('2025Sep1-2025Sep30CustomUnified'!$C99="order",'2025Sep1-2025Sep30CustomUnified'!$G99,0)</f>
        <v>1</v>
      </c>
      <c r="AI99" s="220">
        <f>IF('2025Sep1-2025Sep30CustomUnified'!$C99="refund",-'2025Sep1-2025Sep30CustomUnified'!$G99,0)</f>
        <v>0</v>
      </c>
      <c r="AJ99" s="220">
        <f>SUM('2025Sep1-2025Sep30CustomUnified'!$AH99:$AI99)</f>
        <v>1</v>
      </c>
      <c r="AK99" s="220">
        <f>'2025Sep1-2025Sep30CustomUnified'!$Z99</f>
        <v>-16.6</v>
      </c>
      <c r="AL99" s="220">
        <f>'2025Sep1-2025Sep30CustomUnified'!$AA99+'2025Sep1-2025Sep30CustomUnified'!$W99+'2025Sep1-2025Sep30CustomUnified'!$U99+'2025Sep1-2025Sep30CustomUnified'!$S99+'2025Sep1-2025Sep30CustomUnified'!$Q99</f>
        <v>-16.45</v>
      </c>
      <c r="AM99" s="220">
        <f>SUM('2025Sep1-2025Sep30CustomUnified'!$AB99:$AC99)</f>
        <v>0</v>
      </c>
      <c r="AN99" s="220">
        <f>SUM('2025Sep1-2025Sep30CustomUnified'!$AK99:$AM99)</f>
        <v>-33.05</v>
      </c>
      <c r="AO99" s="220">
        <f>'2025Sep1-2025Sep30CustomUnified'!$AG99+'2025Sep1-2025Sep30CustomUnified'!$AN99</f>
        <v>77.64</v>
      </c>
    </row>
    <row r="100" ht="15.75" hidden="1" customHeight="1">
      <c r="A100" s="220" t="s">
        <v>741</v>
      </c>
      <c r="B100" s="220">
        <v>2.4450080321E10</v>
      </c>
      <c r="C100" s="220" t="s">
        <v>443</v>
      </c>
      <c r="D100" s="220" t="s">
        <v>742</v>
      </c>
      <c r="E100" s="220" t="s">
        <v>227</v>
      </c>
      <c r="F100" s="220" t="s">
        <v>714</v>
      </c>
      <c r="G100" s="220">
        <v>1.0</v>
      </c>
      <c r="H100" s="220" t="s">
        <v>446</v>
      </c>
      <c r="I100" s="220" t="s">
        <v>447</v>
      </c>
      <c r="J100" s="220" t="s">
        <v>448</v>
      </c>
      <c r="K100" s="220" t="s">
        <v>502</v>
      </c>
      <c r="L100" s="220" t="s">
        <v>503</v>
      </c>
      <c r="M100" s="220">
        <v>60620.0</v>
      </c>
      <c r="N100" s="220" t="s">
        <v>451</v>
      </c>
      <c r="O100" s="220">
        <v>120.53</v>
      </c>
      <c r="P100" s="220">
        <v>12.35</v>
      </c>
      <c r="Q100" s="220">
        <v>0.0</v>
      </c>
      <c r="R100" s="220">
        <v>0.0</v>
      </c>
      <c r="S100" s="220">
        <v>0.0</v>
      </c>
      <c r="T100" s="220">
        <v>0.0</v>
      </c>
      <c r="U100" s="220">
        <v>0.0</v>
      </c>
      <c r="V100" s="220">
        <v>0.0</v>
      </c>
      <c r="W100" s="220">
        <v>0.0</v>
      </c>
      <c r="X100" s="220">
        <v>0.0</v>
      </c>
      <c r="Y100" s="220">
        <v>-12.35</v>
      </c>
      <c r="Z100" s="220">
        <v>-18.08</v>
      </c>
      <c r="AA100" s="220">
        <v>-24.43</v>
      </c>
      <c r="AB100" s="220">
        <v>0.0</v>
      </c>
      <c r="AC100" s="220">
        <v>0.0</v>
      </c>
      <c r="AD100" s="220">
        <v>78.02</v>
      </c>
      <c r="AE100" s="220">
        <f>IF('2025Sep1-2025Sep30CustomUnified'!$C100="order",'2025Sep1-2025Sep30CustomUnified'!$O100,0)</f>
        <v>120.53</v>
      </c>
      <c r="AF100" s="220">
        <f>IF('2025Sep1-2025Sep30CustomUnified'!$C100="refund",'2025Sep1-2025Sep30CustomUnified'!$O100,0)</f>
        <v>0</v>
      </c>
      <c r="AG100" s="220">
        <f>SUM('2025Sep1-2025Sep30CustomUnified'!$AE100:$AF100)</f>
        <v>120.53</v>
      </c>
      <c r="AH100" s="220">
        <f>IF('2025Sep1-2025Sep30CustomUnified'!$C100="order",'2025Sep1-2025Sep30CustomUnified'!$G100,0)</f>
        <v>1</v>
      </c>
      <c r="AI100" s="220">
        <f>IF('2025Sep1-2025Sep30CustomUnified'!$C100="refund",-'2025Sep1-2025Sep30CustomUnified'!$G100,0)</f>
        <v>0</v>
      </c>
      <c r="AJ100" s="220">
        <f>SUM('2025Sep1-2025Sep30CustomUnified'!$AH100:$AI100)</f>
        <v>1</v>
      </c>
      <c r="AK100" s="220">
        <f>'2025Sep1-2025Sep30CustomUnified'!$Z100</f>
        <v>-18.08</v>
      </c>
      <c r="AL100" s="220">
        <f>'2025Sep1-2025Sep30CustomUnified'!$AA100+'2025Sep1-2025Sep30CustomUnified'!$W100+'2025Sep1-2025Sep30CustomUnified'!$U100+'2025Sep1-2025Sep30CustomUnified'!$S100+'2025Sep1-2025Sep30CustomUnified'!$Q100</f>
        <v>-24.43</v>
      </c>
      <c r="AM100" s="220">
        <f>SUM('2025Sep1-2025Sep30CustomUnified'!$AB100:$AC100)</f>
        <v>0</v>
      </c>
      <c r="AN100" s="220">
        <f>SUM('2025Sep1-2025Sep30CustomUnified'!$AK100:$AM100)</f>
        <v>-42.51</v>
      </c>
      <c r="AO100" s="220">
        <f>'2025Sep1-2025Sep30CustomUnified'!$AG100+'2025Sep1-2025Sep30CustomUnified'!$AN100</f>
        <v>78.02</v>
      </c>
    </row>
    <row r="101" ht="15.75" hidden="1" customHeight="1">
      <c r="A101" s="220" t="s">
        <v>743</v>
      </c>
      <c r="B101" s="220">
        <v>2.4450080321E10</v>
      </c>
      <c r="C101" s="220" t="s">
        <v>443</v>
      </c>
      <c r="D101" s="220" t="s">
        <v>742</v>
      </c>
      <c r="E101" s="220" t="s">
        <v>227</v>
      </c>
      <c r="F101" s="220" t="s">
        <v>714</v>
      </c>
      <c r="G101" s="220">
        <v>1.0</v>
      </c>
      <c r="H101" s="220" t="s">
        <v>446</v>
      </c>
      <c r="I101" s="220" t="s">
        <v>447</v>
      </c>
      <c r="J101" s="220" t="s">
        <v>448</v>
      </c>
      <c r="K101" s="220" t="s">
        <v>502</v>
      </c>
      <c r="L101" s="220" t="s">
        <v>503</v>
      </c>
      <c r="M101" s="220">
        <v>60620.0</v>
      </c>
      <c r="N101" s="220" t="s">
        <v>451</v>
      </c>
      <c r="O101" s="220">
        <v>120.53</v>
      </c>
      <c r="P101" s="220">
        <v>12.35</v>
      </c>
      <c r="Q101" s="220">
        <v>0.0</v>
      </c>
      <c r="R101" s="220">
        <v>0.0</v>
      </c>
      <c r="S101" s="220">
        <v>0.0</v>
      </c>
      <c r="T101" s="220">
        <v>0.0</v>
      </c>
      <c r="U101" s="220">
        <v>0.0</v>
      </c>
      <c r="V101" s="220">
        <v>0.0</v>
      </c>
      <c r="W101" s="220">
        <v>0.0</v>
      </c>
      <c r="X101" s="220">
        <v>0.0</v>
      </c>
      <c r="Y101" s="220">
        <v>-12.35</v>
      </c>
      <c r="Z101" s="220">
        <v>-18.08</v>
      </c>
      <c r="AA101" s="220">
        <v>-24.43</v>
      </c>
      <c r="AB101" s="220">
        <v>0.0</v>
      </c>
      <c r="AC101" s="220">
        <v>0.0</v>
      </c>
      <c r="AD101" s="220">
        <v>78.02</v>
      </c>
      <c r="AE101" s="220">
        <f>IF('2025Sep1-2025Sep30CustomUnified'!$C101="order",'2025Sep1-2025Sep30CustomUnified'!$O101,0)</f>
        <v>120.53</v>
      </c>
      <c r="AF101" s="220">
        <f>IF('2025Sep1-2025Sep30CustomUnified'!$C101="refund",'2025Sep1-2025Sep30CustomUnified'!$O101,0)</f>
        <v>0</v>
      </c>
      <c r="AG101" s="220">
        <f>SUM('2025Sep1-2025Sep30CustomUnified'!$AE101:$AF101)</f>
        <v>120.53</v>
      </c>
      <c r="AH101" s="220">
        <f>IF('2025Sep1-2025Sep30CustomUnified'!$C101="order",'2025Sep1-2025Sep30CustomUnified'!$G101,0)</f>
        <v>1</v>
      </c>
      <c r="AI101" s="220">
        <f>IF('2025Sep1-2025Sep30CustomUnified'!$C101="refund",-'2025Sep1-2025Sep30CustomUnified'!$G101,0)</f>
        <v>0</v>
      </c>
      <c r="AJ101" s="220">
        <f>SUM('2025Sep1-2025Sep30CustomUnified'!$AH101:$AI101)</f>
        <v>1</v>
      </c>
      <c r="AK101" s="220">
        <f>'2025Sep1-2025Sep30CustomUnified'!$Z101</f>
        <v>-18.08</v>
      </c>
      <c r="AL101" s="220">
        <f>'2025Sep1-2025Sep30CustomUnified'!$AA101+'2025Sep1-2025Sep30CustomUnified'!$W101+'2025Sep1-2025Sep30CustomUnified'!$U101+'2025Sep1-2025Sep30CustomUnified'!$S101+'2025Sep1-2025Sep30CustomUnified'!$Q101</f>
        <v>-24.43</v>
      </c>
      <c r="AM101" s="220">
        <f>SUM('2025Sep1-2025Sep30CustomUnified'!$AB101:$AC101)</f>
        <v>0</v>
      </c>
      <c r="AN101" s="220">
        <f>SUM('2025Sep1-2025Sep30CustomUnified'!$AK101:$AM101)</f>
        <v>-42.51</v>
      </c>
      <c r="AO101" s="220">
        <f>'2025Sep1-2025Sep30CustomUnified'!$AG101+'2025Sep1-2025Sep30CustomUnified'!$AN101</f>
        <v>78.02</v>
      </c>
    </row>
    <row r="102" ht="15.75" hidden="1" customHeight="1">
      <c r="A102" s="220" t="s">
        <v>744</v>
      </c>
      <c r="B102" s="220">
        <v>2.4450080321E10</v>
      </c>
      <c r="C102" s="220" t="s">
        <v>443</v>
      </c>
      <c r="D102" s="220" t="s">
        <v>742</v>
      </c>
      <c r="E102" s="220" t="s">
        <v>227</v>
      </c>
      <c r="F102" s="220" t="s">
        <v>714</v>
      </c>
      <c r="G102" s="220">
        <v>1.0</v>
      </c>
      <c r="H102" s="220" t="s">
        <v>446</v>
      </c>
      <c r="I102" s="220" t="s">
        <v>447</v>
      </c>
      <c r="J102" s="220" t="s">
        <v>448</v>
      </c>
      <c r="K102" s="220" t="s">
        <v>502</v>
      </c>
      <c r="L102" s="220" t="s">
        <v>503</v>
      </c>
      <c r="M102" s="220">
        <v>60620.0</v>
      </c>
      <c r="N102" s="220" t="s">
        <v>451</v>
      </c>
      <c r="O102" s="220">
        <v>120.53</v>
      </c>
      <c r="P102" s="220">
        <v>12.35</v>
      </c>
      <c r="Q102" s="220">
        <v>0.0</v>
      </c>
      <c r="R102" s="220">
        <v>0.0</v>
      </c>
      <c r="S102" s="220">
        <v>0.0</v>
      </c>
      <c r="T102" s="220">
        <v>0.0</v>
      </c>
      <c r="U102" s="220">
        <v>0.0</v>
      </c>
      <c r="V102" s="220">
        <v>0.0</v>
      </c>
      <c r="W102" s="220">
        <v>0.0</v>
      </c>
      <c r="X102" s="220">
        <v>0.0</v>
      </c>
      <c r="Y102" s="220">
        <v>-12.35</v>
      </c>
      <c r="Z102" s="220">
        <v>-18.08</v>
      </c>
      <c r="AA102" s="220">
        <v>-24.43</v>
      </c>
      <c r="AB102" s="220">
        <v>0.0</v>
      </c>
      <c r="AC102" s="220">
        <v>0.0</v>
      </c>
      <c r="AD102" s="220">
        <v>78.02</v>
      </c>
      <c r="AE102" s="220">
        <f>IF('2025Sep1-2025Sep30CustomUnified'!$C102="order",'2025Sep1-2025Sep30CustomUnified'!$O102,0)</f>
        <v>120.53</v>
      </c>
      <c r="AF102" s="220">
        <f>IF('2025Sep1-2025Sep30CustomUnified'!$C102="refund",'2025Sep1-2025Sep30CustomUnified'!$O102,0)</f>
        <v>0</v>
      </c>
      <c r="AG102" s="220">
        <f>SUM('2025Sep1-2025Sep30CustomUnified'!$AE102:$AF102)</f>
        <v>120.53</v>
      </c>
      <c r="AH102" s="220">
        <f>IF('2025Sep1-2025Sep30CustomUnified'!$C102="order",'2025Sep1-2025Sep30CustomUnified'!$G102,0)</f>
        <v>1</v>
      </c>
      <c r="AI102" s="220">
        <f>IF('2025Sep1-2025Sep30CustomUnified'!$C102="refund",-'2025Sep1-2025Sep30CustomUnified'!$G102,0)</f>
        <v>0</v>
      </c>
      <c r="AJ102" s="220">
        <f>SUM('2025Sep1-2025Sep30CustomUnified'!$AH102:$AI102)</f>
        <v>1</v>
      </c>
      <c r="AK102" s="220">
        <f>'2025Sep1-2025Sep30CustomUnified'!$Z102</f>
        <v>-18.08</v>
      </c>
      <c r="AL102" s="220">
        <f>'2025Sep1-2025Sep30CustomUnified'!$AA102+'2025Sep1-2025Sep30CustomUnified'!$W102+'2025Sep1-2025Sep30CustomUnified'!$U102+'2025Sep1-2025Sep30CustomUnified'!$S102+'2025Sep1-2025Sep30CustomUnified'!$Q102</f>
        <v>-24.43</v>
      </c>
      <c r="AM102" s="220">
        <f>SUM('2025Sep1-2025Sep30CustomUnified'!$AB102:$AC102)</f>
        <v>0</v>
      </c>
      <c r="AN102" s="220">
        <f>SUM('2025Sep1-2025Sep30CustomUnified'!$AK102:$AM102)</f>
        <v>-42.51</v>
      </c>
      <c r="AO102" s="220">
        <f>'2025Sep1-2025Sep30CustomUnified'!$AG102+'2025Sep1-2025Sep30CustomUnified'!$AN102</f>
        <v>78.02</v>
      </c>
    </row>
    <row r="103" ht="15.75" customHeight="1">
      <c r="A103" s="220" t="s">
        <v>745</v>
      </c>
      <c r="B103" s="220">
        <v>2.4450080321E10</v>
      </c>
      <c r="C103" s="220" t="s">
        <v>443</v>
      </c>
      <c r="D103" s="220" t="s">
        <v>746</v>
      </c>
      <c r="E103" s="220" t="s">
        <v>225</v>
      </c>
      <c r="F103" s="220" t="s">
        <v>468</v>
      </c>
      <c r="G103" s="220">
        <v>1.0</v>
      </c>
      <c r="H103" s="220" t="s">
        <v>446</v>
      </c>
      <c r="I103" s="220" t="s">
        <v>447</v>
      </c>
      <c r="J103" s="220" t="s">
        <v>448</v>
      </c>
      <c r="K103" s="220" t="s">
        <v>747</v>
      </c>
      <c r="L103" s="220" t="s">
        <v>748</v>
      </c>
      <c r="M103" s="220">
        <v>85248.0</v>
      </c>
      <c r="N103" s="220" t="s">
        <v>451</v>
      </c>
      <c r="O103" s="220">
        <v>129.35</v>
      </c>
      <c r="P103" s="220">
        <v>7.33</v>
      </c>
      <c r="Q103" s="220">
        <v>0.0</v>
      </c>
      <c r="R103" s="220">
        <v>0.0</v>
      </c>
      <c r="S103" s="220">
        <v>0.0</v>
      </c>
      <c r="T103" s="220">
        <v>0.0</v>
      </c>
      <c r="U103" s="220">
        <v>0.0</v>
      </c>
      <c r="V103" s="220">
        <v>0.0</v>
      </c>
      <c r="W103" s="220">
        <v>-12.94</v>
      </c>
      <c r="X103" s="220">
        <v>0.0</v>
      </c>
      <c r="Y103" s="220">
        <v>-7.33</v>
      </c>
      <c r="Z103" s="220">
        <v>-17.46</v>
      </c>
      <c r="AA103" s="220">
        <v>-25.95</v>
      </c>
      <c r="AB103" s="220">
        <v>0.0</v>
      </c>
      <c r="AC103" s="220">
        <v>0.0</v>
      </c>
      <c r="AD103" s="220">
        <v>73.0</v>
      </c>
      <c r="AE103" s="220">
        <f>IF('2025Sep1-2025Sep30CustomUnified'!$C103="order",'2025Sep1-2025Sep30CustomUnified'!$O103,0)</f>
        <v>129.35</v>
      </c>
      <c r="AF103" s="220">
        <f>IF('2025Sep1-2025Sep30CustomUnified'!$C103="refund",'2025Sep1-2025Sep30CustomUnified'!$O103,0)</f>
        <v>0</v>
      </c>
      <c r="AG103" s="220">
        <f>SUM('2025Sep1-2025Sep30CustomUnified'!$AE103:$AF103)</f>
        <v>129.35</v>
      </c>
      <c r="AH103" s="220">
        <f>IF('2025Sep1-2025Sep30CustomUnified'!$C103="order",'2025Sep1-2025Sep30CustomUnified'!$G103,0)</f>
        <v>1</v>
      </c>
      <c r="AI103" s="220">
        <f>IF('2025Sep1-2025Sep30CustomUnified'!$C103="refund",-'2025Sep1-2025Sep30CustomUnified'!$G103,0)</f>
        <v>0</v>
      </c>
      <c r="AJ103" s="220">
        <f>SUM('2025Sep1-2025Sep30CustomUnified'!$AH103:$AI103)</f>
        <v>1</v>
      </c>
      <c r="AK103" s="220">
        <f>'2025Sep1-2025Sep30CustomUnified'!$Z103</f>
        <v>-17.46</v>
      </c>
      <c r="AL103" s="220">
        <f>'2025Sep1-2025Sep30CustomUnified'!$AA103+'2025Sep1-2025Sep30CustomUnified'!$W103+'2025Sep1-2025Sep30CustomUnified'!$U103+'2025Sep1-2025Sep30CustomUnified'!$S103+'2025Sep1-2025Sep30CustomUnified'!$Q103</f>
        <v>-38.89</v>
      </c>
      <c r="AM103" s="220">
        <f>SUM('2025Sep1-2025Sep30CustomUnified'!$AB103:$AC103)</f>
        <v>0</v>
      </c>
      <c r="AN103" s="220">
        <f>SUM('2025Sep1-2025Sep30CustomUnified'!$AK103:$AM103)</f>
        <v>-56.35</v>
      </c>
      <c r="AO103" s="220">
        <f>'2025Sep1-2025Sep30CustomUnified'!$AG103+'2025Sep1-2025Sep30CustomUnified'!$AN103</f>
        <v>73</v>
      </c>
    </row>
    <row r="104" ht="15.75" hidden="1" customHeight="1">
      <c r="A104" s="220" t="s">
        <v>749</v>
      </c>
      <c r="B104" s="220">
        <v>2.4450080321E10</v>
      </c>
      <c r="C104" s="220" t="s">
        <v>443</v>
      </c>
      <c r="D104" s="220" t="s">
        <v>750</v>
      </c>
      <c r="E104" s="220" t="s">
        <v>393</v>
      </c>
      <c r="F104" s="220" t="s">
        <v>458</v>
      </c>
      <c r="G104" s="220">
        <v>1.0</v>
      </c>
      <c r="H104" s="220" t="s">
        <v>446</v>
      </c>
      <c r="I104" s="220" t="s">
        <v>447</v>
      </c>
      <c r="J104" s="220" t="s">
        <v>448</v>
      </c>
      <c r="K104" s="220" t="s">
        <v>751</v>
      </c>
      <c r="L104" s="220" t="s">
        <v>537</v>
      </c>
      <c r="M104" s="220">
        <v>21117.0</v>
      </c>
      <c r="N104" s="220" t="s">
        <v>451</v>
      </c>
      <c r="O104" s="220">
        <v>249.99</v>
      </c>
      <c r="P104" s="220">
        <v>15.0</v>
      </c>
      <c r="Q104" s="220">
        <v>0.0</v>
      </c>
      <c r="R104" s="220">
        <v>0.0</v>
      </c>
      <c r="S104" s="220">
        <v>0.0</v>
      </c>
      <c r="T104" s="220">
        <v>0.0</v>
      </c>
      <c r="U104" s="220">
        <v>0.0</v>
      </c>
      <c r="V104" s="220">
        <v>0.0</v>
      </c>
      <c r="W104" s="220">
        <v>0.0</v>
      </c>
      <c r="X104" s="220">
        <v>0.0</v>
      </c>
      <c r="Y104" s="220">
        <v>-15.0</v>
      </c>
      <c r="Z104" s="220">
        <v>-35.0</v>
      </c>
      <c r="AA104" s="220">
        <v>-22.91</v>
      </c>
      <c r="AB104" s="220">
        <v>0.0</v>
      </c>
      <c r="AC104" s="220">
        <v>0.0</v>
      </c>
      <c r="AD104" s="220">
        <v>192.08</v>
      </c>
      <c r="AE104" s="220">
        <f>IF('2025Sep1-2025Sep30CustomUnified'!$C104="order",'2025Sep1-2025Sep30CustomUnified'!$O104,0)</f>
        <v>249.99</v>
      </c>
      <c r="AF104" s="220">
        <f>IF('2025Sep1-2025Sep30CustomUnified'!$C104="refund",'2025Sep1-2025Sep30CustomUnified'!$O104,0)</f>
        <v>0</v>
      </c>
      <c r="AG104" s="220">
        <f>SUM('2025Sep1-2025Sep30CustomUnified'!$AE104:$AF104)</f>
        <v>249.99</v>
      </c>
      <c r="AH104" s="220">
        <f>IF('2025Sep1-2025Sep30CustomUnified'!$C104="order",'2025Sep1-2025Sep30CustomUnified'!$G104,0)</f>
        <v>1</v>
      </c>
      <c r="AI104" s="220">
        <f>IF('2025Sep1-2025Sep30CustomUnified'!$C104="refund",-'2025Sep1-2025Sep30CustomUnified'!$G104,0)</f>
        <v>0</v>
      </c>
      <c r="AJ104" s="220">
        <f>SUM('2025Sep1-2025Sep30CustomUnified'!$AH104:$AI104)</f>
        <v>1</v>
      </c>
      <c r="AK104" s="220">
        <f>'2025Sep1-2025Sep30CustomUnified'!$Z104</f>
        <v>-35</v>
      </c>
      <c r="AL104" s="220">
        <f>'2025Sep1-2025Sep30CustomUnified'!$AA104+'2025Sep1-2025Sep30CustomUnified'!$W104+'2025Sep1-2025Sep30CustomUnified'!$U104+'2025Sep1-2025Sep30CustomUnified'!$S104+'2025Sep1-2025Sep30CustomUnified'!$Q104</f>
        <v>-22.91</v>
      </c>
      <c r="AM104" s="220">
        <f>SUM('2025Sep1-2025Sep30CustomUnified'!$AB104:$AC104)</f>
        <v>0</v>
      </c>
      <c r="AN104" s="220">
        <f>SUM('2025Sep1-2025Sep30CustomUnified'!$AK104:$AM104)</f>
        <v>-57.91</v>
      </c>
      <c r="AO104" s="220">
        <f>'2025Sep1-2025Sep30CustomUnified'!$AG104+'2025Sep1-2025Sep30CustomUnified'!$AN104</f>
        <v>192.08</v>
      </c>
    </row>
    <row r="105" ht="15.75" hidden="1" customHeight="1">
      <c r="A105" s="220" t="s">
        <v>752</v>
      </c>
      <c r="B105" s="220">
        <v>2.4450080321E10</v>
      </c>
      <c r="C105" s="220" t="s">
        <v>443</v>
      </c>
      <c r="D105" s="220" t="s">
        <v>753</v>
      </c>
      <c r="E105" s="220" t="s">
        <v>227</v>
      </c>
      <c r="F105" s="220" t="s">
        <v>714</v>
      </c>
      <c r="G105" s="220">
        <v>1.0</v>
      </c>
      <c r="H105" s="220" t="s">
        <v>446</v>
      </c>
      <c r="I105" s="220" t="s">
        <v>447</v>
      </c>
      <c r="J105" s="220" t="s">
        <v>448</v>
      </c>
      <c r="K105" s="220" t="s">
        <v>754</v>
      </c>
      <c r="L105" s="220" t="s">
        <v>460</v>
      </c>
      <c r="M105" s="220">
        <v>11721.0</v>
      </c>
      <c r="N105" s="220" t="s">
        <v>451</v>
      </c>
      <c r="O105" s="220">
        <v>123.47</v>
      </c>
      <c r="P105" s="220">
        <v>10.8</v>
      </c>
      <c r="Q105" s="220">
        <v>0.0</v>
      </c>
      <c r="R105" s="220">
        <v>0.0</v>
      </c>
      <c r="S105" s="220">
        <v>0.0</v>
      </c>
      <c r="T105" s="220">
        <v>0.0</v>
      </c>
      <c r="U105" s="220">
        <v>0.0</v>
      </c>
      <c r="V105" s="220">
        <v>0.0</v>
      </c>
      <c r="W105" s="220">
        <v>0.0</v>
      </c>
      <c r="X105" s="220">
        <v>0.0</v>
      </c>
      <c r="Y105" s="220">
        <v>-10.8</v>
      </c>
      <c r="Z105" s="220">
        <v>-18.52</v>
      </c>
      <c r="AA105" s="220">
        <v>-24.43</v>
      </c>
      <c r="AB105" s="220">
        <v>0.0</v>
      </c>
      <c r="AC105" s="220">
        <v>0.0</v>
      </c>
      <c r="AD105" s="220">
        <v>80.52</v>
      </c>
      <c r="AE105" s="220">
        <f>IF('2025Sep1-2025Sep30CustomUnified'!$C105="order",'2025Sep1-2025Sep30CustomUnified'!$O105,0)</f>
        <v>123.47</v>
      </c>
      <c r="AF105" s="220">
        <f>IF('2025Sep1-2025Sep30CustomUnified'!$C105="refund",'2025Sep1-2025Sep30CustomUnified'!$O105,0)</f>
        <v>0</v>
      </c>
      <c r="AG105" s="220">
        <f>SUM('2025Sep1-2025Sep30CustomUnified'!$AE105:$AF105)</f>
        <v>123.47</v>
      </c>
      <c r="AH105" s="220">
        <f>IF('2025Sep1-2025Sep30CustomUnified'!$C105="order",'2025Sep1-2025Sep30CustomUnified'!$G105,0)</f>
        <v>1</v>
      </c>
      <c r="AI105" s="220">
        <f>IF('2025Sep1-2025Sep30CustomUnified'!$C105="refund",-'2025Sep1-2025Sep30CustomUnified'!$G105,0)</f>
        <v>0</v>
      </c>
      <c r="AJ105" s="220">
        <f>SUM('2025Sep1-2025Sep30CustomUnified'!$AH105:$AI105)</f>
        <v>1</v>
      </c>
      <c r="AK105" s="220">
        <f>'2025Sep1-2025Sep30CustomUnified'!$Z105</f>
        <v>-18.52</v>
      </c>
      <c r="AL105" s="220">
        <f>'2025Sep1-2025Sep30CustomUnified'!$AA105+'2025Sep1-2025Sep30CustomUnified'!$W105+'2025Sep1-2025Sep30CustomUnified'!$U105+'2025Sep1-2025Sep30CustomUnified'!$S105+'2025Sep1-2025Sep30CustomUnified'!$Q105</f>
        <v>-24.43</v>
      </c>
      <c r="AM105" s="220">
        <f>SUM('2025Sep1-2025Sep30CustomUnified'!$AB105:$AC105)</f>
        <v>0</v>
      </c>
      <c r="AN105" s="220">
        <f>SUM('2025Sep1-2025Sep30CustomUnified'!$AK105:$AM105)</f>
        <v>-42.95</v>
      </c>
      <c r="AO105" s="220">
        <f>'2025Sep1-2025Sep30CustomUnified'!$AG105+'2025Sep1-2025Sep30CustomUnified'!$AN105</f>
        <v>80.52</v>
      </c>
    </row>
    <row r="106" ht="15.75" customHeight="1">
      <c r="A106" s="220" t="s">
        <v>755</v>
      </c>
      <c r="B106" s="220">
        <v>2.4450080321E10</v>
      </c>
      <c r="C106" s="220" t="s">
        <v>443</v>
      </c>
      <c r="D106" s="220" t="s">
        <v>756</v>
      </c>
      <c r="E106" s="220" t="s">
        <v>225</v>
      </c>
      <c r="F106" s="220" t="s">
        <v>468</v>
      </c>
      <c r="G106" s="220">
        <v>1.0</v>
      </c>
      <c r="H106" s="220" t="s">
        <v>446</v>
      </c>
      <c r="I106" s="220" t="s">
        <v>447</v>
      </c>
      <c r="J106" s="220" t="s">
        <v>448</v>
      </c>
      <c r="K106" s="220" t="s">
        <v>608</v>
      </c>
      <c r="L106" s="220" t="s">
        <v>549</v>
      </c>
      <c r="M106" s="220">
        <v>75206.0</v>
      </c>
      <c r="N106" s="220" t="s">
        <v>451</v>
      </c>
      <c r="O106" s="220">
        <v>123.47</v>
      </c>
      <c r="P106" s="220">
        <v>10.19</v>
      </c>
      <c r="Q106" s="220">
        <v>0.0</v>
      </c>
      <c r="R106" s="220">
        <v>0.0</v>
      </c>
      <c r="S106" s="220">
        <v>0.0</v>
      </c>
      <c r="T106" s="220">
        <v>0.0</v>
      </c>
      <c r="U106" s="220">
        <v>0.0</v>
      </c>
      <c r="V106" s="220">
        <v>0.0</v>
      </c>
      <c r="W106" s="220">
        <v>0.0</v>
      </c>
      <c r="X106" s="220">
        <v>0.0</v>
      </c>
      <c r="Y106" s="220">
        <v>-10.19</v>
      </c>
      <c r="Z106" s="220">
        <v>-18.52</v>
      </c>
      <c r="AA106" s="220">
        <v>-25.95</v>
      </c>
      <c r="AB106" s="220">
        <v>0.0</v>
      </c>
      <c r="AC106" s="220">
        <v>0.0</v>
      </c>
      <c r="AD106" s="220">
        <v>79.0</v>
      </c>
      <c r="AE106" s="220">
        <f>IF('2025Sep1-2025Sep30CustomUnified'!$C106="order",'2025Sep1-2025Sep30CustomUnified'!$O106,0)</f>
        <v>123.47</v>
      </c>
      <c r="AF106" s="220">
        <f>IF('2025Sep1-2025Sep30CustomUnified'!$C106="refund",'2025Sep1-2025Sep30CustomUnified'!$O106,0)</f>
        <v>0</v>
      </c>
      <c r="AG106" s="220">
        <f>SUM('2025Sep1-2025Sep30CustomUnified'!$AE106:$AF106)</f>
        <v>123.47</v>
      </c>
      <c r="AH106" s="220">
        <f>IF('2025Sep1-2025Sep30CustomUnified'!$C106="order",'2025Sep1-2025Sep30CustomUnified'!$G106,0)</f>
        <v>1</v>
      </c>
      <c r="AI106" s="220">
        <f>IF('2025Sep1-2025Sep30CustomUnified'!$C106="refund",-'2025Sep1-2025Sep30CustomUnified'!$G106,0)</f>
        <v>0</v>
      </c>
      <c r="AJ106" s="220">
        <f>SUM('2025Sep1-2025Sep30CustomUnified'!$AH106:$AI106)</f>
        <v>1</v>
      </c>
      <c r="AK106" s="220">
        <f>'2025Sep1-2025Sep30CustomUnified'!$Z106</f>
        <v>-18.52</v>
      </c>
      <c r="AL106" s="220">
        <f>'2025Sep1-2025Sep30CustomUnified'!$AA106+'2025Sep1-2025Sep30CustomUnified'!$W106+'2025Sep1-2025Sep30CustomUnified'!$U106+'2025Sep1-2025Sep30CustomUnified'!$S106+'2025Sep1-2025Sep30CustomUnified'!$Q106</f>
        <v>-25.95</v>
      </c>
      <c r="AM106" s="220">
        <f>SUM('2025Sep1-2025Sep30CustomUnified'!$AB106:$AC106)</f>
        <v>0</v>
      </c>
      <c r="AN106" s="220">
        <f>SUM('2025Sep1-2025Sep30CustomUnified'!$AK106:$AM106)</f>
        <v>-44.47</v>
      </c>
      <c r="AO106" s="220">
        <f>'2025Sep1-2025Sep30CustomUnified'!$AG106+'2025Sep1-2025Sep30CustomUnified'!$AN106</f>
        <v>79</v>
      </c>
    </row>
    <row r="107" ht="15.75" hidden="1" customHeight="1">
      <c r="A107" s="220" t="s">
        <v>757</v>
      </c>
      <c r="B107" s="220">
        <v>2.4450080321E10</v>
      </c>
      <c r="C107" s="220" t="s">
        <v>443</v>
      </c>
      <c r="D107" s="220" t="s">
        <v>758</v>
      </c>
      <c r="E107" s="220" t="s">
        <v>222</v>
      </c>
      <c r="F107" s="220" t="s">
        <v>445</v>
      </c>
      <c r="G107" s="220">
        <v>1.0</v>
      </c>
      <c r="H107" s="220" t="s">
        <v>446</v>
      </c>
      <c r="I107" s="220" t="s">
        <v>447</v>
      </c>
      <c r="J107" s="220" t="s">
        <v>448</v>
      </c>
      <c r="K107" s="220" t="s">
        <v>759</v>
      </c>
      <c r="L107" s="220" t="s">
        <v>662</v>
      </c>
      <c r="M107" s="221" t="s">
        <v>760</v>
      </c>
      <c r="N107" s="220" t="s">
        <v>451</v>
      </c>
      <c r="O107" s="220">
        <v>110.49</v>
      </c>
      <c r="P107" s="220">
        <v>6.91</v>
      </c>
      <c r="Q107" s="220">
        <v>0.0</v>
      </c>
      <c r="R107" s="220">
        <v>0.0</v>
      </c>
      <c r="S107" s="220">
        <v>0.0</v>
      </c>
      <c r="T107" s="220">
        <v>0.0</v>
      </c>
      <c r="U107" s="220">
        <v>0.0</v>
      </c>
      <c r="V107" s="220">
        <v>0.0</v>
      </c>
      <c r="W107" s="220">
        <v>0.0</v>
      </c>
      <c r="X107" s="220">
        <v>0.0</v>
      </c>
      <c r="Y107" s="220">
        <v>-6.91</v>
      </c>
      <c r="Z107" s="220">
        <v>-16.57</v>
      </c>
      <c r="AA107" s="220">
        <v>-16.45</v>
      </c>
      <c r="AB107" s="220">
        <v>0.0</v>
      </c>
      <c r="AC107" s="220">
        <v>0.0</v>
      </c>
      <c r="AD107" s="220">
        <v>77.47</v>
      </c>
      <c r="AE107" s="220">
        <f>IF('2025Sep1-2025Sep30CustomUnified'!$C107="order",'2025Sep1-2025Sep30CustomUnified'!$O107,0)</f>
        <v>110.49</v>
      </c>
      <c r="AF107" s="220">
        <f>IF('2025Sep1-2025Sep30CustomUnified'!$C107="refund",'2025Sep1-2025Sep30CustomUnified'!$O107,0)</f>
        <v>0</v>
      </c>
      <c r="AG107" s="220">
        <f>SUM('2025Sep1-2025Sep30CustomUnified'!$AE107:$AF107)</f>
        <v>110.49</v>
      </c>
      <c r="AH107" s="220">
        <f>IF('2025Sep1-2025Sep30CustomUnified'!$C107="order",'2025Sep1-2025Sep30CustomUnified'!$G107,0)</f>
        <v>1</v>
      </c>
      <c r="AI107" s="220">
        <f>IF('2025Sep1-2025Sep30CustomUnified'!$C107="refund",-'2025Sep1-2025Sep30CustomUnified'!$G107,0)</f>
        <v>0</v>
      </c>
      <c r="AJ107" s="220">
        <f>SUM('2025Sep1-2025Sep30CustomUnified'!$AH107:$AI107)</f>
        <v>1</v>
      </c>
      <c r="AK107" s="220">
        <f>'2025Sep1-2025Sep30CustomUnified'!$Z107</f>
        <v>-16.57</v>
      </c>
      <c r="AL107" s="220">
        <f>'2025Sep1-2025Sep30CustomUnified'!$AA107+'2025Sep1-2025Sep30CustomUnified'!$W107+'2025Sep1-2025Sep30CustomUnified'!$U107+'2025Sep1-2025Sep30CustomUnified'!$S107+'2025Sep1-2025Sep30CustomUnified'!$Q107</f>
        <v>-16.45</v>
      </c>
      <c r="AM107" s="220">
        <f>SUM('2025Sep1-2025Sep30CustomUnified'!$AB107:$AC107)</f>
        <v>0</v>
      </c>
      <c r="AN107" s="220">
        <f>SUM('2025Sep1-2025Sep30CustomUnified'!$AK107:$AM107)</f>
        <v>-33.02</v>
      </c>
      <c r="AO107" s="220">
        <f>'2025Sep1-2025Sep30CustomUnified'!$AG107+'2025Sep1-2025Sep30CustomUnified'!$AN107</f>
        <v>77.47</v>
      </c>
    </row>
    <row r="108" ht="15.75" hidden="1" customHeight="1">
      <c r="A108" s="220" t="s">
        <v>761</v>
      </c>
      <c r="B108" s="220">
        <v>2.4549234341E10</v>
      </c>
      <c r="C108" s="220" t="s">
        <v>443</v>
      </c>
      <c r="D108" s="220" t="s">
        <v>762</v>
      </c>
      <c r="E108" s="220" t="s">
        <v>395</v>
      </c>
      <c r="F108" s="220" t="s">
        <v>763</v>
      </c>
      <c r="G108" s="220">
        <v>1.0</v>
      </c>
      <c r="H108" s="220" t="s">
        <v>446</v>
      </c>
      <c r="I108" s="220" t="s">
        <v>447</v>
      </c>
      <c r="J108" s="220" t="s">
        <v>448</v>
      </c>
      <c r="K108" s="220" t="s">
        <v>764</v>
      </c>
      <c r="L108" s="220" t="s">
        <v>484</v>
      </c>
      <c r="M108" s="220">
        <v>27591.0</v>
      </c>
      <c r="N108" s="220" t="s">
        <v>451</v>
      </c>
      <c r="O108" s="220">
        <v>199.19</v>
      </c>
      <c r="P108" s="220">
        <v>14.44</v>
      </c>
      <c r="Q108" s="220">
        <v>0.0</v>
      </c>
      <c r="R108" s="220">
        <v>0.0</v>
      </c>
      <c r="S108" s="220">
        <v>0.0</v>
      </c>
      <c r="T108" s="220">
        <v>0.0</v>
      </c>
      <c r="U108" s="220">
        <v>0.0</v>
      </c>
      <c r="V108" s="220">
        <v>0.0</v>
      </c>
      <c r="W108" s="220">
        <v>0.0</v>
      </c>
      <c r="X108" s="220">
        <v>0.0</v>
      </c>
      <c r="Y108" s="220">
        <v>-14.44</v>
      </c>
      <c r="Z108" s="220">
        <v>-29.88</v>
      </c>
      <c r="AA108" s="220">
        <v>-43.87</v>
      </c>
      <c r="AB108" s="220">
        <v>0.0</v>
      </c>
      <c r="AC108" s="220">
        <v>0.0</v>
      </c>
      <c r="AD108" s="220">
        <v>125.44</v>
      </c>
      <c r="AE108" s="220">
        <f>IF('2025Sep1-2025Sep30CustomUnified'!$C108="order",'2025Sep1-2025Sep30CustomUnified'!$O108,0)</f>
        <v>199.19</v>
      </c>
      <c r="AF108" s="220">
        <f>IF('2025Sep1-2025Sep30CustomUnified'!$C108="refund",'2025Sep1-2025Sep30CustomUnified'!$O108,0)</f>
        <v>0</v>
      </c>
      <c r="AG108" s="220">
        <f>SUM('2025Sep1-2025Sep30CustomUnified'!$AE108:$AF108)</f>
        <v>199.19</v>
      </c>
      <c r="AH108" s="220">
        <f>IF('2025Sep1-2025Sep30CustomUnified'!$C108="order",'2025Sep1-2025Sep30CustomUnified'!$G108,0)</f>
        <v>1</v>
      </c>
      <c r="AI108" s="220">
        <f>IF('2025Sep1-2025Sep30CustomUnified'!$C108="refund",-'2025Sep1-2025Sep30CustomUnified'!$G108,0)</f>
        <v>0</v>
      </c>
      <c r="AJ108" s="220">
        <f>SUM('2025Sep1-2025Sep30CustomUnified'!$AH108:$AI108)</f>
        <v>1</v>
      </c>
      <c r="AK108" s="220">
        <f>'2025Sep1-2025Sep30CustomUnified'!$Z108</f>
        <v>-29.88</v>
      </c>
      <c r="AL108" s="220">
        <f>'2025Sep1-2025Sep30CustomUnified'!$AA108+'2025Sep1-2025Sep30CustomUnified'!$W108+'2025Sep1-2025Sep30CustomUnified'!$U108+'2025Sep1-2025Sep30CustomUnified'!$S108+'2025Sep1-2025Sep30CustomUnified'!$Q108</f>
        <v>-43.87</v>
      </c>
      <c r="AM108" s="220">
        <f>SUM('2025Sep1-2025Sep30CustomUnified'!$AB108:$AC108)</f>
        <v>0</v>
      </c>
      <c r="AN108" s="220">
        <f>SUM('2025Sep1-2025Sep30CustomUnified'!$AK108:$AM108)</f>
        <v>-73.75</v>
      </c>
      <c r="AO108" s="220">
        <f>'2025Sep1-2025Sep30CustomUnified'!$AG108+'2025Sep1-2025Sep30CustomUnified'!$AN108</f>
        <v>125.44</v>
      </c>
    </row>
    <row r="109" ht="15.75" hidden="1" customHeight="1">
      <c r="A109" s="220" t="s">
        <v>765</v>
      </c>
      <c r="B109" s="220">
        <v>2.4549234341E10</v>
      </c>
      <c r="C109" s="220" t="s">
        <v>443</v>
      </c>
      <c r="D109" s="220" t="s">
        <v>766</v>
      </c>
      <c r="E109" s="220" t="s">
        <v>387</v>
      </c>
      <c r="F109" s="220" t="s">
        <v>767</v>
      </c>
      <c r="G109" s="220">
        <v>1.0</v>
      </c>
      <c r="H109" s="220" t="s">
        <v>446</v>
      </c>
      <c r="I109" s="220" t="s">
        <v>447</v>
      </c>
      <c r="J109" s="220" t="s">
        <v>488</v>
      </c>
      <c r="K109" s="220" t="s">
        <v>768</v>
      </c>
      <c r="L109" s="220" t="s">
        <v>605</v>
      </c>
      <c r="M109" s="220">
        <v>80013.0</v>
      </c>
      <c r="N109" s="220" t="s">
        <v>451</v>
      </c>
      <c r="O109" s="220">
        <v>378.39</v>
      </c>
      <c r="P109" s="220">
        <v>30.27</v>
      </c>
      <c r="Q109" s="220">
        <v>0.0</v>
      </c>
      <c r="R109" s="220">
        <v>0.0</v>
      </c>
      <c r="S109" s="220">
        <v>0.0</v>
      </c>
      <c r="T109" s="220">
        <v>0.0</v>
      </c>
      <c r="U109" s="220">
        <v>0.0</v>
      </c>
      <c r="V109" s="220">
        <v>0.0</v>
      </c>
      <c r="W109" s="220">
        <v>0.0</v>
      </c>
      <c r="X109" s="220">
        <v>0.0</v>
      </c>
      <c r="Y109" s="220">
        <v>-30.27</v>
      </c>
      <c r="Z109" s="220">
        <v>-47.84</v>
      </c>
      <c r="AA109" s="220">
        <v>0.0</v>
      </c>
      <c r="AB109" s="220">
        <v>-0.05</v>
      </c>
      <c r="AC109" s="220">
        <v>0.0</v>
      </c>
      <c r="AD109" s="220">
        <v>330.5</v>
      </c>
      <c r="AE109" s="220">
        <f>IF('2025Sep1-2025Sep30CustomUnified'!$C109="order",'2025Sep1-2025Sep30CustomUnified'!$O109,0)</f>
        <v>378.39</v>
      </c>
      <c r="AF109" s="220">
        <f>IF('2025Sep1-2025Sep30CustomUnified'!$C109="refund",'2025Sep1-2025Sep30CustomUnified'!$O109,0)</f>
        <v>0</v>
      </c>
      <c r="AG109" s="220">
        <f>SUM('2025Sep1-2025Sep30CustomUnified'!$AE109:$AF109)</f>
        <v>378.39</v>
      </c>
      <c r="AH109" s="220">
        <f>IF('2025Sep1-2025Sep30CustomUnified'!$C109="order",'2025Sep1-2025Sep30CustomUnified'!$G109,0)</f>
        <v>1</v>
      </c>
      <c r="AI109" s="220">
        <f>IF('2025Sep1-2025Sep30CustomUnified'!$C109="refund",-'2025Sep1-2025Sep30CustomUnified'!$G109,0)</f>
        <v>0</v>
      </c>
      <c r="AJ109" s="220">
        <f>SUM('2025Sep1-2025Sep30CustomUnified'!$AH109:$AI109)</f>
        <v>1</v>
      </c>
      <c r="AK109" s="220">
        <f>'2025Sep1-2025Sep30CustomUnified'!$Z109</f>
        <v>-47.84</v>
      </c>
      <c r="AL109" s="220">
        <f>'2025Sep1-2025Sep30CustomUnified'!$AA109+'2025Sep1-2025Sep30CustomUnified'!$W109+'2025Sep1-2025Sep30CustomUnified'!$U109+'2025Sep1-2025Sep30CustomUnified'!$S109+'2025Sep1-2025Sep30CustomUnified'!$Q109</f>
        <v>0</v>
      </c>
      <c r="AM109" s="220">
        <f>SUM('2025Sep1-2025Sep30CustomUnified'!$AB109:$AC109)</f>
        <v>-0.05</v>
      </c>
      <c r="AN109" s="220">
        <f>SUM('2025Sep1-2025Sep30CustomUnified'!$AK109:$AM109)</f>
        <v>-47.89</v>
      </c>
      <c r="AO109" s="220">
        <f>'2025Sep1-2025Sep30CustomUnified'!$AG109+'2025Sep1-2025Sep30CustomUnified'!$AN109</f>
        <v>330.5</v>
      </c>
    </row>
    <row r="110" ht="15.75" hidden="1" customHeight="1">
      <c r="A110" s="220" t="s">
        <v>769</v>
      </c>
      <c r="B110" s="220">
        <v>2.4549234341E10</v>
      </c>
      <c r="C110" s="220" t="s">
        <v>443</v>
      </c>
      <c r="D110" s="220" t="s">
        <v>770</v>
      </c>
      <c r="E110" s="220" t="s">
        <v>229</v>
      </c>
      <c r="F110" s="220" t="s">
        <v>501</v>
      </c>
      <c r="G110" s="220">
        <v>1.0</v>
      </c>
      <c r="H110" s="220" t="s">
        <v>446</v>
      </c>
      <c r="I110" s="220" t="s">
        <v>447</v>
      </c>
      <c r="J110" s="220" t="s">
        <v>448</v>
      </c>
      <c r="K110" s="220" t="s">
        <v>515</v>
      </c>
      <c r="L110" s="220" t="s">
        <v>455</v>
      </c>
      <c r="M110" s="220">
        <v>94553.0</v>
      </c>
      <c r="N110" s="220" t="s">
        <v>451</v>
      </c>
      <c r="O110" s="220">
        <v>85.25</v>
      </c>
      <c r="P110" s="220">
        <v>8.31</v>
      </c>
      <c r="Q110" s="220">
        <v>0.0</v>
      </c>
      <c r="R110" s="220">
        <v>0.0</v>
      </c>
      <c r="S110" s="220">
        <v>0.0</v>
      </c>
      <c r="T110" s="220">
        <v>0.0</v>
      </c>
      <c r="U110" s="220">
        <v>0.0</v>
      </c>
      <c r="V110" s="220">
        <v>0.0</v>
      </c>
      <c r="W110" s="220">
        <v>0.0</v>
      </c>
      <c r="X110" s="220">
        <v>0.0</v>
      </c>
      <c r="Y110" s="220">
        <v>-8.31</v>
      </c>
      <c r="Z110" s="220">
        <v>-12.79</v>
      </c>
      <c r="AA110" s="220">
        <v>0.0</v>
      </c>
      <c r="AB110" s="220">
        <v>0.0</v>
      </c>
      <c r="AC110" s="220">
        <v>0.0</v>
      </c>
      <c r="AD110" s="220">
        <v>72.46</v>
      </c>
      <c r="AE110" s="220">
        <f>IF('2025Sep1-2025Sep30CustomUnified'!$C110="order",'2025Sep1-2025Sep30CustomUnified'!$O110,0)</f>
        <v>85.25</v>
      </c>
      <c r="AF110" s="220">
        <f>IF('2025Sep1-2025Sep30CustomUnified'!$C110="refund",'2025Sep1-2025Sep30CustomUnified'!$O110,0)</f>
        <v>0</v>
      </c>
      <c r="AG110" s="220">
        <f>SUM('2025Sep1-2025Sep30CustomUnified'!$AE110:$AF110)</f>
        <v>85.25</v>
      </c>
      <c r="AH110" s="220">
        <f>IF('2025Sep1-2025Sep30CustomUnified'!$C110="order",'2025Sep1-2025Sep30CustomUnified'!$G110,0)</f>
        <v>1</v>
      </c>
      <c r="AI110" s="220">
        <f>IF('2025Sep1-2025Sep30CustomUnified'!$C110="refund",-'2025Sep1-2025Sep30CustomUnified'!$G110,0)</f>
        <v>0</v>
      </c>
      <c r="AJ110" s="220">
        <f>SUM('2025Sep1-2025Sep30CustomUnified'!$AH110:$AI110)</f>
        <v>1</v>
      </c>
      <c r="AK110" s="220">
        <f>'2025Sep1-2025Sep30CustomUnified'!$Z110</f>
        <v>-12.79</v>
      </c>
      <c r="AL110" s="220">
        <f>'2025Sep1-2025Sep30CustomUnified'!$AA110+'2025Sep1-2025Sep30CustomUnified'!$W110+'2025Sep1-2025Sep30CustomUnified'!$U110+'2025Sep1-2025Sep30CustomUnified'!$S110+'2025Sep1-2025Sep30CustomUnified'!$Q110</f>
        <v>0</v>
      </c>
      <c r="AM110" s="220">
        <f>SUM('2025Sep1-2025Sep30CustomUnified'!$AB110:$AC110)</f>
        <v>0</v>
      </c>
      <c r="AN110" s="220">
        <f>SUM('2025Sep1-2025Sep30CustomUnified'!$AK110:$AM110)</f>
        <v>-12.79</v>
      </c>
      <c r="AO110" s="220">
        <f>'2025Sep1-2025Sep30CustomUnified'!$AG110+'2025Sep1-2025Sep30CustomUnified'!$AN110</f>
        <v>72.46</v>
      </c>
    </row>
    <row r="111" ht="15.75" hidden="1" customHeight="1">
      <c r="A111" s="220" t="s">
        <v>771</v>
      </c>
      <c r="B111" s="220">
        <v>2.4549234341E10</v>
      </c>
      <c r="C111" s="220" t="s">
        <v>443</v>
      </c>
      <c r="D111" s="220" t="s">
        <v>742</v>
      </c>
      <c r="E111" s="220" t="s">
        <v>222</v>
      </c>
      <c r="F111" s="220" t="s">
        <v>445</v>
      </c>
      <c r="G111" s="220">
        <v>1.0</v>
      </c>
      <c r="H111" s="220" t="s">
        <v>446</v>
      </c>
      <c r="I111" s="220" t="s">
        <v>447</v>
      </c>
      <c r="J111" s="220" t="s">
        <v>448</v>
      </c>
      <c r="K111" s="220" t="s">
        <v>502</v>
      </c>
      <c r="L111" s="220" t="s">
        <v>503</v>
      </c>
      <c r="M111" s="220">
        <v>60620.0</v>
      </c>
      <c r="N111" s="220" t="s">
        <v>451</v>
      </c>
      <c r="O111" s="220">
        <v>110.69</v>
      </c>
      <c r="P111" s="220">
        <v>11.35</v>
      </c>
      <c r="Q111" s="220">
        <v>0.0</v>
      </c>
      <c r="R111" s="220">
        <v>0.0</v>
      </c>
      <c r="S111" s="220">
        <v>0.0</v>
      </c>
      <c r="T111" s="220">
        <v>0.0</v>
      </c>
      <c r="U111" s="220">
        <v>0.0</v>
      </c>
      <c r="V111" s="220">
        <v>0.0</v>
      </c>
      <c r="W111" s="220">
        <v>0.0</v>
      </c>
      <c r="X111" s="220">
        <v>0.0</v>
      </c>
      <c r="Y111" s="220">
        <v>-22.7</v>
      </c>
      <c r="Z111" s="220">
        <v>-33.2</v>
      </c>
      <c r="AA111" s="220">
        <v>-16.45</v>
      </c>
      <c r="AB111" s="220">
        <v>0.0</v>
      </c>
      <c r="AC111" s="220">
        <v>0.0</v>
      </c>
      <c r="AD111" s="220">
        <v>49.69</v>
      </c>
      <c r="AE111" s="220">
        <f>IF('2025Sep1-2025Sep30CustomUnified'!$C111="order",'2025Sep1-2025Sep30CustomUnified'!$O111,0)</f>
        <v>110.69</v>
      </c>
      <c r="AF111" s="220">
        <f>IF('2025Sep1-2025Sep30CustomUnified'!$C111="refund",'2025Sep1-2025Sep30CustomUnified'!$O111,0)</f>
        <v>0</v>
      </c>
      <c r="AG111" s="220">
        <f>SUM('2025Sep1-2025Sep30CustomUnified'!$AE111:$AF111)</f>
        <v>110.69</v>
      </c>
      <c r="AH111" s="220">
        <f>IF('2025Sep1-2025Sep30CustomUnified'!$C111="order",'2025Sep1-2025Sep30CustomUnified'!$G111,0)</f>
        <v>1</v>
      </c>
      <c r="AI111" s="220">
        <f>IF('2025Sep1-2025Sep30CustomUnified'!$C111="refund",-'2025Sep1-2025Sep30CustomUnified'!$G111,0)</f>
        <v>0</v>
      </c>
      <c r="AJ111" s="220">
        <f>SUM('2025Sep1-2025Sep30CustomUnified'!$AH111:$AI111)</f>
        <v>1</v>
      </c>
      <c r="AK111" s="220">
        <f>'2025Sep1-2025Sep30CustomUnified'!$Z111</f>
        <v>-33.2</v>
      </c>
      <c r="AL111" s="220">
        <f>'2025Sep1-2025Sep30CustomUnified'!$AA111+'2025Sep1-2025Sep30CustomUnified'!$W111+'2025Sep1-2025Sep30CustomUnified'!$U111+'2025Sep1-2025Sep30CustomUnified'!$S111+'2025Sep1-2025Sep30CustomUnified'!$Q111</f>
        <v>-16.45</v>
      </c>
      <c r="AM111" s="220">
        <f>SUM('2025Sep1-2025Sep30CustomUnified'!$AB111:$AC111)</f>
        <v>0</v>
      </c>
      <c r="AN111" s="220">
        <f>SUM('2025Sep1-2025Sep30CustomUnified'!$AK111:$AM111)</f>
        <v>-49.65</v>
      </c>
      <c r="AO111" s="220">
        <f>'2025Sep1-2025Sep30CustomUnified'!$AG111+'2025Sep1-2025Sep30CustomUnified'!$AN111</f>
        <v>61.04</v>
      </c>
    </row>
    <row r="112" ht="15.75" hidden="1" customHeight="1">
      <c r="A112" s="220" t="s">
        <v>771</v>
      </c>
      <c r="B112" s="220">
        <v>2.4549234341E10</v>
      </c>
      <c r="C112" s="220" t="s">
        <v>443</v>
      </c>
      <c r="D112" s="220" t="s">
        <v>742</v>
      </c>
      <c r="E112" s="220" t="s">
        <v>222</v>
      </c>
      <c r="F112" s="220" t="s">
        <v>445</v>
      </c>
      <c r="G112" s="220">
        <v>1.0</v>
      </c>
      <c r="H112" s="220" t="s">
        <v>446</v>
      </c>
      <c r="I112" s="220" t="s">
        <v>447</v>
      </c>
      <c r="J112" s="220" t="s">
        <v>448</v>
      </c>
      <c r="K112" s="220" t="s">
        <v>502</v>
      </c>
      <c r="L112" s="220" t="s">
        <v>503</v>
      </c>
      <c r="M112" s="220">
        <v>60620.0</v>
      </c>
      <c r="N112" s="220"/>
      <c r="O112" s="220">
        <v>110.69</v>
      </c>
      <c r="P112" s="220">
        <v>11.35</v>
      </c>
      <c r="Q112" s="220">
        <v>0.0</v>
      </c>
      <c r="R112" s="220">
        <v>0.0</v>
      </c>
      <c r="S112" s="220">
        <v>0.0</v>
      </c>
      <c r="T112" s="220">
        <v>0.0</v>
      </c>
      <c r="U112" s="220">
        <v>0.0</v>
      </c>
      <c r="V112" s="220">
        <v>0.0</v>
      </c>
      <c r="W112" s="220">
        <v>0.0</v>
      </c>
      <c r="X112" s="220">
        <v>0.0</v>
      </c>
      <c r="Y112" s="220">
        <v>0.0</v>
      </c>
      <c r="Z112" s="220">
        <v>0.0</v>
      </c>
      <c r="AA112" s="220">
        <v>-16.45</v>
      </c>
      <c r="AB112" s="220">
        <v>0.0</v>
      </c>
      <c r="AC112" s="220">
        <v>0.0</v>
      </c>
      <c r="AD112" s="220">
        <v>105.59</v>
      </c>
      <c r="AE112" s="220">
        <f>IF('2025Sep1-2025Sep30CustomUnified'!$C112="order",'2025Sep1-2025Sep30CustomUnified'!$O112,0)</f>
        <v>110.69</v>
      </c>
      <c r="AF112" s="220">
        <f>IF('2025Sep1-2025Sep30CustomUnified'!$C112="refund",'2025Sep1-2025Sep30CustomUnified'!$O112,0)</f>
        <v>0</v>
      </c>
      <c r="AG112" s="220">
        <f>SUM('2025Sep1-2025Sep30CustomUnified'!$AE112:$AF112)</f>
        <v>110.69</v>
      </c>
      <c r="AH112" s="220">
        <f>IF('2025Sep1-2025Sep30CustomUnified'!$C112="order",'2025Sep1-2025Sep30CustomUnified'!$G112,0)</f>
        <v>1</v>
      </c>
      <c r="AI112" s="220">
        <f>IF('2025Sep1-2025Sep30CustomUnified'!$C112="refund",-'2025Sep1-2025Sep30CustomUnified'!$G112,0)</f>
        <v>0</v>
      </c>
      <c r="AJ112" s="220">
        <f>SUM('2025Sep1-2025Sep30CustomUnified'!$AH112:$AI112)</f>
        <v>1</v>
      </c>
      <c r="AK112" s="220">
        <f>'2025Sep1-2025Sep30CustomUnified'!$Z112</f>
        <v>0</v>
      </c>
      <c r="AL112" s="220">
        <f>'2025Sep1-2025Sep30CustomUnified'!$AA112+'2025Sep1-2025Sep30CustomUnified'!$W112+'2025Sep1-2025Sep30CustomUnified'!$U112+'2025Sep1-2025Sep30CustomUnified'!$S112+'2025Sep1-2025Sep30CustomUnified'!$Q112</f>
        <v>-16.45</v>
      </c>
      <c r="AM112" s="220">
        <f>SUM('2025Sep1-2025Sep30CustomUnified'!$AB112:$AC112)</f>
        <v>0</v>
      </c>
      <c r="AN112" s="220">
        <f>SUM('2025Sep1-2025Sep30CustomUnified'!$AK112:$AM112)</f>
        <v>-16.45</v>
      </c>
      <c r="AO112" s="220">
        <f>'2025Sep1-2025Sep30CustomUnified'!$AG112+'2025Sep1-2025Sep30CustomUnified'!$AN112</f>
        <v>94.24</v>
      </c>
    </row>
    <row r="113" ht="15.75" hidden="1" customHeight="1">
      <c r="A113" s="220" t="s">
        <v>772</v>
      </c>
      <c r="B113" s="220">
        <v>2.4549234341E10</v>
      </c>
      <c r="C113" s="220" t="s">
        <v>466</v>
      </c>
      <c r="D113" s="220" t="s">
        <v>636</v>
      </c>
      <c r="E113" s="220" t="s">
        <v>397</v>
      </c>
      <c r="F113" s="220" t="s">
        <v>637</v>
      </c>
      <c r="G113" s="220">
        <v>1.0</v>
      </c>
      <c r="H113" s="220" t="s">
        <v>446</v>
      </c>
      <c r="I113" s="220" t="s">
        <v>447</v>
      </c>
      <c r="J113" s="220" t="s">
        <v>448</v>
      </c>
      <c r="K113" s="220" t="s">
        <v>638</v>
      </c>
      <c r="L113" s="220" t="s">
        <v>484</v>
      </c>
      <c r="M113" s="220">
        <v>28428.0</v>
      </c>
      <c r="N113" s="220" t="s">
        <v>451</v>
      </c>
      <c r="O113" s="220">
        <v>-179.99</v>
      </c>
      <c r="P113" s="220">
        <v>-12.6</v>
      </c>
      <c r="Q113" s="220">
        <v>0.0</v>
      </c>
      <c r="R113" s="220">
        <v>0.0</v>
      </c>
      <c r="S113" s="220">
        <v>0.0</v>
      </c>
      <c r="T113" s="220">
        <v>0.0</v>
      </c>
      <c r="U113" s="220">
        <v>0.0</v>
      </c>
      <c r="V113" s="220">
        <v>0.0</v>
      </c>
      <c r="W113" s="220">
        <v>0.0</v>
      </c>
      <c r="X113" s="220">
        <v>0.0</v>
      </c>
      <c r="Y113" s="220">
        <v>12.6</v>
      </c>
      <c r="Z113" s="220">
        <v>22.0</v>
      </c>
      <c r="AA113" s="220">
        <v>0.0</v>
      </c>
      <c r="AB113" s="220">
        <v>0.0</v>
      </c>
      <c r="AC113" s="220">
        <v>0.0</v>
      </c>
      <c r="AD113" s="220">
        <v>-157.99</v>
      </c>
      <c r="AE113" s="220">
        <f>IF('2025Sep1-2025Sep30CustomUnified'!$C113="order",'2025Sep1-2025Sep30CustomUnified'!$O113,0)</f>
        <v>0</v>
      </c>
      <c r="AF113" s="220">
        <f>IF('2025Sep1-2025Sep30CustomUnified'!$C113="refund",'2025Sep1-2025Sep30CustomUnified'!$O113,0)</f>
        <v>-179.99</v>
      </c>
      <c r="AG113" s="220">
        <f>SUM('2025Sep1-2025Sep30CustomUnified'!$AE113:$AF113)</f>
        <v>-179.99</v>
      </c>
      <c r="AH113" s="220">
        <f>IF('2025Sep1-2025Sep30CustomUnified'!$C113="order",'2025Sep1-2025Sep30CustomUnified'!$G113,0)</f>
        <v>0</v>
      </c>
      <c r="AI113" s="220">
        <f>IF('2025Sep1-2025Sep30CustomUnified'!$C113="refund",-'2025Sep1-2025Sep30CustomUnified'!$G113,0)</f>
        <v>-1</v>
      </c>
      <c r="AJ113" s="220">
        <f>SUM('2025Sep1-2025Sep30CustomUnified'!$AH113:$AI113)</f>
        <v>-1</v>
      </c>
      <c r="AK113" s="220">
        <f>'2025Sep1-2025Sep30CustomUnified'!$Z113</f>
        <v>22</v>
      </c>
      <c r="AL113" s="220">
        <f>'2025Sep1-2025Sep30CustomUnified'!$AA113+'2025Sep1-2025Sep30CustomUnified'!$W113+'2025Sep1-2025Sep30CustomUnified'!$U113+'2025Sep1-2025Sep30CustomUnified'!$S113+'2025Sep1-2025Sep30CustomUnified'!$Q113</f>
        <v>0</v>
      </c>
      <c r="AM113" s="220">
        <f>SUM('2025Sep1-2025Sep30CustomUnified'!$AB113:$AC113)</f>
        <v>0</v>
      </c>
      <c r="AN113" s="220">
        <f>SUM('2025Sep1-2025Sep30CustomUnified'!$AK113:$AM113)</f>
        <v>22</v>
      </c>
      <c r="AO113" s="220">
        <f>'2025Sep1-2025Sep30CustomUnified'!$AG113+'2025Sep1-2025Sep30CustomUnified'!$AN113</f>
        <v>-157.99</v>
      </c>
    </row>
    <row r="114" ht="15.75" hidden="1" customHeight="1">
      <c r="A114" s="220" t="s">
        <v>773</v>
      </c>
      <c r="B114" s="220">
        <v>2.4549234341E10</v>
      </c>
      <c r="C114" s="220" t="s">
        <v>443</v>
      </c>
      <c r="D114" s="220" t="s">
        <v>774</v>
      </c>
      <c r="E114" s="220" t="s">
        <v>228</v>
      </c>
      <c r="F114" s="220" t="s">
        <v>458</v>
      </c>
      <c r="G114" s="220">
        <v>1.0</v>
      </c>
      <c r="H114" s="220" t="s">
        <v>446</v>
      </c>
      <c r="I114" s="220" t="s">
        <v>447</v>
      </c>
      <c r="J114" s="220" t="s">
        <v>448</v>
      </c>
      <c r="K114" s="220" t="s">
        <v>775</v>
      </c>
      <c r="L114" s="220" t="s">
        <v>455</v>
      </c>
      <c r="M114" s="220">
        <v>92647.0</v>
      </c>
      <c r="N114" s="220" t="s">
        <v>451</v>
      </c>
      <c r="O114" s="220">
        <v>208.79</v>
      </c>
      <c r="P114" s="220">
        <v>16.18</v>
      </c>
      <c r="Q114" s="220">
        <v>0.0</v>
      </c>
      <c r="R114" s="220">
        <v>0.0</v>
      </c>
      <c r="S114" s="220">
        <v>0.0</v>
      </c>
      <c r="T114" s="220">
        <v>0.0</v>
      </c>
      <c r="U114" s="220">
        <v>0.0</v>
      </c>
      <c r="V114" s="220">
        <v>0.0</v>
      </c>
      <c r="W114" s="220">
        <v>0.0</v>
      </c>
      <c r="X114" s="220">
        <v>0.0</v>
      </c>
      <c r="Y114" s="220">
        <v>-16.18</v>
      </c>
      <c r="Z114" s="220">
        <v>-30.88</v>
      </c>
      <c r="AA114" s="220">
        <v>-21.39</v>
      </c>
      <c r="AB114" s="220">
        <v>0.0</v>
      </c>
      <c r="AC114" s="220">
        <v>0.0</v>
      </c>
      <c r="AD114" s="220">
        <v>156.52</v>
      </c>
      <c r="AE114" s="220">
        <f>IF('2025Sep1-2025Sep30CustomUnified'!$C114="order",'2025Sep1-2025Sep30CustomUnified'!$O114,0)</f>
        <v>208.79</v>
      </c>
      <c r="AF114" s="220">
        <f>IF('2025Sep1-2025Sep30CustomUnified'!$C114="refund",'2025Sep1-2025Sep30CustomUnified'!$O114,0)</f>
        <v>0</v>
      </c>
      <c r="AG114" s="220">
        <f>SUM('2025Sep1-2025Sep30CustomUnified'!$AE114:$AF114)</f>
        <v>208.79</v>
      </c>
      <c r="AH114" s="220">
        <f>IF('2025Sep1-2025Sep30CustomUnified'!$C114="order",'2025Sep1-2025Sep30CustomUnified'!$G114,0)</f>
        <v>1</v>
      </c>
      <c r="AI114" s="220">
        <f>IF('2025Sep1-2025Sep30CustomUnified'!$C114="refund",-'2025Sep1-2025Sep30CustomUnified'!$G114,0)</f>
        <v>0</v>
      </c>
      <c r="AJ114" s="220">
        <f>SUM('2025Sep1-2025Sep30CustomUnified'!$AH114:$AI114)</f>
        <v>1</v>
      </c>
      <c r="AK114" s="220">
        <f>'2025Sep1-2025Sep30CustomUnified'!$Z114</f>
        <v>-30.88</v>
      </c>
      <c r="AL114" s="220">
        <f>'2025Sep1-2025Sep30CustomUnified'!$AA114+'2025Sep1-2025Sep30CustomUnified'!$W114+'2025Sep1-2025Sep30CustomUnified'!$U114+'2025Sep1-2025Sep30CustomUnified'!$S114+'2025Sep1-2025Sep30CustomUnified'!$Q114</f>
        <v>-21.39</v>
      </c>
      <c r="AM114" s="220">
        <f>SUM('2025Sep1-2025Sep30CustomUnified'!$AB114:$AC114)</f>
        <v>0</v>
      </c>
      <c r="AN114" s="220">
        <f>SUM('2025Sep1-2025Sep30CustomUnified'!$AK114:$AM114)</f>
        <v>-52.27</v>
      </c>
      <c r="AO114" s="220">
        <f>'2025Sep1-2025Sep30CustomUnified'!$AG114+'2025Sep1-2025Sep30CustomUnified'!$AN114</f>
        <v>156.52</v>
      </c>
    </row>
    <row r="115" ht="15.75" hidden="1" customHeight="1">
      <c r="A115" s="220" t="s">
        <v>776</v>
      </c>
      <c r="B115" s="220">
        <v>2.4549234341E10</v>
      </c>
      <c r="C115" s="220" t="s">
        <v>466</v>
      </c>
      <c r="D115" s="220" t="s">
        <v>777</v>
      </c>
      <c r="E115" s="220" t="s">
        <v>229</v>
      </c>
      <c r="F115" s="220" t="s">
        <v>501</v>
      </c>
      <c r="G115" s="220">
        <v>1.0</v>
      </c>
      <c r="H115" s="220" t="s">
        <v>446</v>
      </c>
      <c r="I115" s="220" t="s">
        <v>447</v>
      </c>
      <c r="J115" s="220" t="s">
        <v>448</v>
      </c>
      <c r="K115" s="220" t="s">
        <v>778</v>
      </c>
      <c r="L115" s="220" t="s">
        <v>475</v>
      </c>
      <c r="M115" s="220">
        <v>32259.0</v>
      </c>
      <c r="N115" s="220" t="s">
        <v>451</v>
      </c>
      <c r="O115" s="220">
        <v>-85.99</v>
      </c>
      <c r="P115" s="220">
        <v>-5.59</v>
      </c>
      <c r="Q115" s="220">
        <v>0.0</v>
      </c>
      <c r="R115" s="220">
        <v>0.0</v>
      </c>
      <c r="S115" s="220">
        <v>0.0</v>
      </c>
      <c r="T115" s="220">
        <v>0.0</v>
      </c>
      <c r="U115" s="220">
        <v>0.0</v>
      </c>
      <c r="V115" s="220">
        <v>0.0</v>
      </c>
      <c r="W115" s="220">
        <v>0.0</v>
      </c>
      <c r="X115" s="220">
        <v>0.0</v>
      </c>
      <c r="Y115" s="220">
        <v>5.59</v>
      </c>
      <c r="Z115" s="220">
        <v>10.32</v>
      </c>
      <c r="AA115" s="220">
        <v>0.0</v>
      </c>
      <c r="AB115" s="220">
        <v>0.0</v>
      </c>
      <c r="AC115" s="220">
        <v>0.0</v>
      </c>
      <c r="AD115" s="220">
        <v>-75.67</v>
      </c>
      <c r="AE115" s="220">
        <f>IF('2025Sep1-2025Sep30CustomUnified'!$C115="order",'2025Sep1-2025Sep30CustomUnified'!$O115,0)</f>
        <v>0</v>
      </c>
      <c r="AF115" s="220">
        <f>IF('2025Sep1-2025Sep30CustomUnified'!$C115="refund",'2025Sep1-2025Sep30CustomUnified'!$O115,0)</f>
        <v>-85.99</v>
      </c>
      <c r="AG115" s="220">
        <f>SUM('2025Sep1-2025Sep30CustomUnified'!$AE115:$AF115)</f>
        <v>-85.99</v>
      </c>
      <c r="AH115" s="220">
        <f>IF('2025Sep1-2025Sep30CustomUnified'!$C115="order",'2025Sep1-2025Sep30CustomUnified'!$G115,0)</f>
        <v>0</v>
      </c>
      <c r="AI115" s="220">
        <f>IF('2025Sep1-2025Sep30CustomUnified'!$C115="refund",-'2025Sep1-2025Sep30CustomUnified'!$G115,0)</f>
        <v>-1</v>
      </c>
      <c r="AJ115" s="220">
        <f>SUM('2025Sep1-2025Sep30CustomUnified'!$AH115:$AI115)</f>
        <v>-1</v>
      </c>
      <c r="AK115" s="220">
        <f>'2025Sep1-2025Sep30CustomUnified'!$Z115</f>
        <v>10.32</v>
      </c>
      <c r="AL115" s="220">
        <f>'2025Sep1-2025Sep30CustomUnified'!$AA115+'2025Sep1-2025Sep30CustomUnified'!$W115+'2025Sep1-2025Sep30CustomUnified'!$U115+'2025Sep1-2025Sep30CustomUnified'!$S115+'2025Sep1-2025Sep30CustomUnified'!$Q115</f>
        <v>0</v>
      </c>
      <c r="AM115" s="220">
        <f>SUM('2025Sep1-2025Sep30CustomUnified'!$AB115:$AC115)</f>
        <v>0</v>
      </c>
      <c r="AN115" s="220">
        <f>SUM('2025Sep1-2025Sep30CustomUnified'!$AK115:$AM115)</f>
        <v>10.32</v>
      </c>
      <c r="AO115" s="220">
        <f>'2025Sep1-2025Sep30CustomUnified'!$AG115+'2025Sep1-2025Sep30CustomUnified'!$AN115</f>
        <v>-75.67</v>
      </c>
    </row>
    <row r="116" ht="15.75" hidden="1" customHeight="1">
      <c r="A116" s="220" t="s">
        <v>779</v>
      </c>
      <c r="B116" s="220">
        <v>2.4549234341E10</v>
      </c>
      <c r="C116" s="220" t="s">
        <v>443</v>
      </c>
      <c r="D116" s="220" t="s">
        <v>780</v>
      </c>
      <c r="E116" s="220" t="s">
        <v>224</v>
      </c>
      <c r="F116" s="220" t="s">
        <v>495</v>
      </c>
      <c r="G116" s="220">
        <v>1.0</v>
      </c>
      <c r="H116" s="220" t="s">
        <v>446</v>
      </c>
      <c r="I116" s="220" t="s">
        <v>447</v>
      </c>
      <c r="J116" s="220" t="s">
        <v>448</v>
      </c>
      <c r="K116" s="220" t="s">
        <v>781</v>
      </c>
      <c r="L116" s="220" t="s">
        <v>605</v>
      </c>
      <c r="M116" s="220">
        <v>81611.0</v>
      </c>
      <c r="N116" s="220" t="s">
        <v>451</v>
      </c>
      <c r="O116" s="220">
        <v>134.99</v>
      </c>
      <c r="P116" s="220">
        <v>12.55</v>
      </c>
      <c r="Q116" s="220">
        <v>0.0</v>
      </c>
      <c r="R116" s="220">
        <v>0.0</v>
      </c>
      <c r="S116" s="220">
        <v>0.0</v>
      </c>
      <c r="T116" s="220">
        <v>0.0</v>
      </c>
      <c r="U116" s="220">
        <v>0.0</v>
      </c>
      <c r="V116" s="220">
        <v>0.0</v>
      </c>
      <c r="W116" s="220">
        <v>0.0</v>
      </c>
      <c r="X116" s="220">
        <v>0.0</v>
      </c>
      <c r="Y116" s="220">
        <v>-12.55</v>
      </c>
      <c r="Z116" s="220">
        <v>-20.25</v>
      </c>
      <c r="AA116" s="220">
        <v>-16.45</v>
      </c>
      <c r="AB116" s="220">
        <v>0.0</v>
      </c>
      <c r="AC116" s="220">
        <v>0.0</v>
      </c>
      <c r="AD116" s="220">
        <v>98.29</v>
      </c>
      <c r="AE116" s="220">
        <f>IF('2025Sep1-2025Sep30CustomUnified'!$C116="order",'2025Sep1-2025Sep30CustomUnified'!$O116,0)</f>
        <v>134.99</v>
      </c>
      <c r="AF116" s="220">
        <f>IF('2025Sep1-2025Sep30CustomUnified'!$C116="refund",'2025Sep1-2025Sep30CustomUnified'!$O116,0)</f>
        <v>0</v>
      </c>
      <c r="AG116" s="220">
        <f>SUM('2025Sep1-2025Sep30CustomUnified'!$AE116:$AF116)</f>
        <v>134.99</v>
      </c>
      <c r="AH116" s="220">
        <f>IF('2025Sep1-2025Sep30CustomUnified'!$C116="order",'2025Sep1-2025Sep30CustomUnified'!$G116,0)</f>
        <v>1</v>
      </c>
      <c r="AI116" s="220">
        <f>IF('2025Sep1-2025Sep30CustomUnified'!$C116="refund",-'2025Sep1-2025Sep30CustomUnified'!$G116,0)</f>
        <v>0</v>
      </c>
      <c r="AJ116" s="220">
        <f>SUM('2025Sep1-2025Sep30CustomUnified'!$AH116:$AI116)</f>
        <v>1</v>
      </c>
      <c r="AK116" s="220">
        <f>'2025Sep1-2025Sep30CustomUnified'!$Z116</f>
        <v>-20.25</v>
      </c>
      <c r="AL116" s="220">
        <f>'2025Sep1-2025Sep30CustomUnified'!$AA116+'2025Sep1-2025Sep30CustomUnified'!$W116+'2025Sep1-2025Sep30CustomUnified'!$U116+'2025Sep1-2025Sep30CustomUnified'!$S116+'2025Sep1-2025Sep30CustomUnified'!$Q116</f>
        <v>-16.45</v>
      </c>
      <c r="AM116" s="220">
        <f>SUM('2025Sep1-2025Sep30CustomUnified'!$AB116:$AC116)</f>
        <v>0</v>
      </c>
      <c r="AN116" s="220">
        <f>SUM('2025Sep1-2025Sep30CustomUnified'!$AK116:$AM116)</f>
        <v>-36.7</v>
      </c>
      <c r="AO116" s="220">
        <f>'2025Sep1-2025Sep30CustomUnified'!$AG116+'2025Sep1-2025Sep30CustomUnified'!$AN116</f>
        <v>98.29</v>
      </c>
    </row>
    <row r="117" ht="15.75" hidden="1" customHeight="1">
      <c r="A117" s="220" t="s">
        <v>782</v>
      </c>
      <c r="B117" s="220">
        <v>2.4549234341E10</v>
      </c>
      <c r="C117" s="220" t="s">
        <v>443</v>
      </c>
      <c r="D117" s="220" t="s">
        <v>777</v>
      </c>
      <c r="E117" s="220" t="s">
        <v>229</v>
      </c>
      <c r="F117" s="220" t="s">
        <v>501</v>
      </c>
      <c r="G117" s="220">
        <v>1.0</v>
      </c>
      <c r="H117" s="220" t="s">
        <v>446</v>
      </c>
      <c r="I117" s="220" t="s">
        <v>447</v>
      </c>
      <c r="J117" s="220" t="s">
        <v>448</v>
      </c>
      <c r="K117" s="220" t="s">
        <v>778</v>
      </c>
      <c r="L117" s="220" t="s">
        <v>475</v>
      </c>
      <c r="M117" s="220">
        <v>32259.0</v>
      </c>
      <c r="N117" s="220" t="s">
        <v>451</v>
      </c>
      <c r="O117" s="220">
        <v>85.99</v>
      </c>
      <c r="P117" s="220">
        <v>5.59</v>
      </c>
      <c r="Q117" s="220">
        <v>0.0</v>
      </c>
      <c r="R117" s="220">
        <v>0.0</v>
      </c>
      <c r="S117" s="220">
        <v>0.0</v>
      </c>
      <c r="T117" s="220">
        <v>0.0</v>
      </c>
      <c r="U117" s="220">
        <v>0.0</v>
      </c>
      <c r="V117" s="220">
        <v>0.0</v>
      </c>
      <c r="W117" s="220">
        <v>0.0</v>
      </c>
      <c r="X117" s="220">
        <v>0.0</v>
      </c>
      <c r="Y117" s="220">
        <v>-5.59</v>
      </c>
      <c r="Z117" s="220">
        <v>-12.9</v>
      </c>
      <c r="AA117" s="220">
        <v>0.0</v>
      </c>
      <c r="AB117" s="220">
        <v>0.0</v>
      </c>
      <c r="AC117" s="220">
        <v>0.0</v>
      </c>
      <c r="AD117" s="220">
        <v>73.09</v>
      </c>
      <c r="AE117" s="220">
        <f>IF('2025Sep1-2025Sep30CustomUnified'!$C117="order",'2025Sep1-2025Sep30CustomUnified'!$O117,0)</f>
        <v>85.99</v>
      </c>
      <c r="AF117" s="220">
        <f>IF('2025Sep1-2025Sep30CustomUnified'!$C117="refund",'2025Sep1-2025Sep30CustomUnified'!$O117,0)</f>
        <v>0</v>
      </c>
      <c r="AG117" s="220">
        <f>SUM('2025Sep1-2025Sep30CustomUnified'!$AE117:$AF117)</f>
        <v>85.99</v>
      </c>
      <c r="AH117" s="220">
        <f>IF('2025Sep1-2025Sep30CustomUnified'!$C117="order",'2025Sep1-2025Sep30CustomUnified'!$G117,0)</f>
        <v>1</v>
      </c>
      <c r="AI117" s="220">
        <f>IF('2025Sep1-2025Sep30CustomUnified'!$C117="refund",-'2025Sep1-2025Sep30CustomUnified'!$G117,0)</f>
        <v>0</v>
      </c>
      <c r="AJ117" s="220">
        <f>SUM('2025Sep1-2025Sep30CustomUnified'!$AH117:$AI117)</f>
        <v>1</v>
      </c>
      <c r="AK117" s="220">
        <f>'2025Sep1-2025Sep30CustomUnified'!$Z117</f>
        <v>-12.9</v>
      </c>
      <c r="AL117" s="220">
        <f>'2025Sep1-2025Sep30CustomUnified'!$AA117+'2025Sep1-2025Sep30CustomUnified'!$W117+'2025Sep1-2025Sep30CustomUnified'!$U117+'2025Sep1-2025Sep30CustomUnified'!$S117+'2025Sep1-2025Sep30CustomUnified'!$Q117</f>
        <v>0</v>
      </c>
      <c r="AM117" s="220">
        <f>SUM('2025Sep1-2025Sep30CustomUnified'!$AB117:$AC117)</f>
        <v>0</v>
      </c>
      <c r="AN117" s="220">
        <f>SUM('2025Sep1-2025Sep30CustomUnified'!$AK117:$AM117)</f>
        <v>-12.9</v>
      </c>
      <c r="AO117" s="220">
        <f>'2025Sep1-2025Sep30CustomUnified'!$AG117+'2025Sep1-2025Sep30CustomUnified'!$AN117</f>
        <v>73.09</v>
      </c>
    </row>
    <row r="118" ht="15.75" hidden="1" customHeight="1">
      <c r="A118" s="220" t="s">
        <v>783</v>
      </c>
      <c r="B118" s="220">
        <v>2.4549234341E10</v>
      </c>
      <c r="C118" s="220" t="s">
        <v>466</v>
      </c>
      <c r="D118" s="220" t="s">
        <v>636</v>
      </c>
      <c r="E118" s="220" t="s">
        <v>397</v>
      </c>
      <c r="F118" s="220" t="s">
        <v>637</v>
      </c>
      <c r="G118" s="220">
        <v>1.0</v>
      </c>
      <c r="H118" s="220" t="s">
        <v>446</v>
      </c>
      <c r="I118" s="220" t="s">
        <v>447</v>
      </c>
      <c r="J118" s="220" t="s">
        <v>448</v>
      </c>
      <c r="K118" s="220" t="s">
        <v>638</v>
      </c>
      <c r="L118" s="220" t="s">
        <v>484</v>
      </c>
      <c r="M118" s="220">
        <v>28428.0</v>
      </c>
      <c r="N118" s="220" t="s">
        <v>451</v>
      </c>
      <c r="O118" s="220">
        <v>-179.99</v>
      </c>
      <c r="P118" s="220">
        <v>-12.6</v>
      </c>
      <c r="Q118" s="220">
        <v>0.0</v>
      </c>
      <c r="R118" s="220">
        <v>0.0</v>
      </c>
      <c r="S118" s="220">
        <v>0.0</v>
      </c>
      <c r="T118" s="220">
        <v>0.0</v>
      </c>
      <c r="U118" s="220">
        <v>0.0</v>
      </c>
      <c r="V118" s="220">
        <v>0.0</v>
      </c>
      <c r="W118" s="220">
        <v>0.0</v>
      </c>
      <c r="X118" s="220">
        <v>0.0</v>
      </c>
      <c r="Y118" s="220">
        <v>12.6</v>
      </c>
      <c r="Z118" s="220">
        <v>22.0</v>
      </c>
      <c r="AA118" s="220">
        <v>0.0</v>
      </c>
      <c r="AB118" s="220">
        <v>0.0</v>
      </c>
      <c r="AC118" s="220">
        <v>0.0</v>
      </c>
      <c r="AD118" s="220">
        <v>-157.99</v>
      </c>
      <c r="AE118" s="220">
        <f>IF('2025Sep1-2025Sep30CustomUnified'!$C118="order",'2025Sep1-2025Sep30CustomUnified'!$O118,0)</f>
        <v>0</v>
      </c>
      <c r="AF118" s="220">
        <f>IF('2025Sep1-2025Sep30CustomUnified'!$C118="refund",'2025Sep1-2025Sep30CustomUnified'!$O118,0)</f>
        <v>-179.99</v>
      </c>
      <c r="AG118" s="220">
        <f>SUM('2025Sep1-2025Sep30CustomUnified'!$AE118:$AF118)</f>
        <v>-179.99</v>
      </c>
      <c r="AH118" s="220">
        <f>IF('2025Sep1-2025Sep30CustomUnified'!$C118="order",'2025Sep1-2025Sep30CustomUnified'!$G118,0)</f>
        <v>0</v>
      </c>
      <c r="AI118" s="220">
        <f>IF('2025Sep1-2025Sep30CustomUnified'!$C118="refund",-'2025Sep1-2025Sep30CustomUnified'!$G118,0)</f>
        <v>-1</v>
      </c>
      <c r="AJ118" s="220">
        <f>SUM('2025Sep1-2025Sep30CustomUnified'!$AH118:$AI118)</f>
        <v>-1</v>
      </c>
      <c r="AK118" s="220">
        <f>'2025Sep1-2025Sep30CustomUnified'!$Z118</f>
        <v>22</v>
      </c>
      <c r="AL118" s="220">
        <f>'2025Sep1-2025Sep30CustomUnified'!$AA118+'2025Sep1-2025Sep30CustomUnified'!$W118+'2025Sep1-2025Sep30CustomUnified'!$U118+'2025Sep1-2025Sep30CustomUnified'!$S118+'2025Sep1-2025Sep30CustomUnified'!$Q118</f>
        <v>0</v>
      </c>
      <c r="AM118" s="220">
        <f>SUM('2025Sep1-2025Sep30CustomUnified'!$AB118:$AC118)</f>
        <v>0</v>
      </c>
      <c r="AN118" s="220">
        <f>SUM('2025Sep1-2025Sep30CustomUnified'!$AK118:$AM118)</f>
        <v>22</v>
      </c>
      <c r="AO118" s="220">
        <f>'2025Sep1-2025Sep30CustomUnified'!$AG118+'2025Sep1-2025Sep30CustomUnified'!$AN118</f>
        <v>-157.99</v>
      </c>
    </row>
    <row r="119" ht="15.75" hidden="1" customHeight="1">
      <c r="A119" s="220" t="s">
        <v>784</v>
      </c>
      <c r="B119" s="220">
        <v>2.4549234341E10</v>
      </c>
      <c r="C119" s="220" t="s">
        <v>466</v>
      </c>
      <c r="D119" s="220" t="s">
        <v>616</v>
      </c>
      <c r="E119" s="220" t="s">
        <v>229</v>
      </c>
      <c r="F119" s="220" t="s">
        <v>501</v>
      </c>
      <c r="G119" s="220">
        <v>1.0</v>
      </c>
      <c r="H119" s="220" t="s">
        <v>446</v>
      </c>
      <c r="I119" s="220" t="s">
        <v>447</v>
      </c>
      <c r="J119" s="220" t="s">
        <v>448</v>
      </c>
      <c r="K119" s="220" t="s">
        <v>617</v>
      </c>
      <c r="L119" s="220" t="s">
        <v>455</v>
      </c>
      <c r="M119" s="220">
        <v>96022.0</v>
      </c>
      <c r="N119" s="220" t="s">
        <v>451</v>
      </c>
      <c r="O119" s="220">
        <v>-85.49</v>
      </c>
      <c r="P119" s="220">
        <v>-6.2</v>
      </c>
      <c r="Q119" s="220">
        <v>0.0</v>
      </c>
      <c r="R119" s="220">
        <v>0.0</v>
      </c>
      <c r="S119" s="220">
        <v>0.0</v>
      </c>
      <c r="T119" s="220">
        <v>0.0</v>
      </c>
      <c r="U119" s="220">
        <v>0.0</v>
      </c>
      <c r="V119" s="220">
        <v>0.0</v>
      </c>
      <c r="W119" s="220">
        <v>0.0</v>
      </c>
      <c r="X119" s="220">
        <v>0.0</v>
      </c>
      <c r="Y119" s="220">
        <v>6.2</v>
      </c>
      <c r="Z119" s="220">
        <v>10.26</v>
      </c>
      <c r="AA119" s="220">
        <v>0.0</v>
      </c>
      <c r="AB119" s="220">
        <v>0.0</v>
      </c>
      <c r="AC119" s="220">
        <v>0.0</v>
      </c>
      <c r="AD119" s="220">
        <v>-75.23</v>
      </c>
      <c r="AE119" s="220">
        <f>IF('2025Sep1-2025Sep30CustomUnified'!$C119="order",'2025Sep1-2025Sep30CustomUnified'!$O119,0)</f>
        <v>0</v>
      </c>
      <c r="AF119" s="220">
        <f>IF('2025Sep1-2025Sep30CustomUnified'!$C119="refund",'2025Sep1-2025Sep30CustomUnified'!$O119,0)</f>
        <v>-85.49</v>
      </c>
      <c r="AG119" s="220">
        <f>SUM('2025Sep1-2025Sep30CustomUnified'!$AE119:$AF119)</f>
        <v>-85.49</v>
      </c>
      <c r="AH119" s="220">
        <f>IF('2025Sep1-2025Sep30CustomUnified'!$C119="order",'2025Sep1-2025Sep30CustomUnified'!$G119,0)</f>
        <v>0</v>
      </c>
      <c r="AI119" s="220">
        <f>IF('2025Sep1-2025Sep30CustomUnified'!$C119="refund",-'2025Sep1-2025Sep30CustomUnified'!$G119,0)</f>
        <v>-1</v>
      </c>
      <c r="AJ119" s="220">
        <f>SUM('2025Sep1-2025Sep30CustomUnified'!$AH119:$AI119)</f>
        <v>-1</v>
      </c>
      <c r="AK119" s="220">
        <f>'2025Sep1-2025Sep30CustomUnified'!$Z119</f>
        <v>10.26</v>
      </c>
      <c r="AL119" s="220">
        <f>'2025Sep1-2025Sep30CustomUnified'!$AA119+'2025Sep1-2025Sep30CustomUnified'!$W119+'2025Sep1-2025Sep30CustomUnified'!$U119+'2025Sep1-2025Sep30CustomUnified'!$S119+'2025Sep1-2025Sep30CustomUnified'!$Q119</f>
        <v>0</v>
      </c>
      <c r="AM119" s="220">
        <f>SUM('2025Sep1-2025Sep30CustomUnified'!$AB119:$AC119)</f>
        <v>0</v>
      </c>
      <c r="AN119" s="220">
        <f>SUM('2025Sep1-2025Sep30CustomUnified'!$AK119:$AM119)</f>
        <v>10.26</v>
      </c>
      <c r="AO119" s="220">
        <f>'2025Sep1-2025Sep30CustomUnified'!$AG119+'2025Sep1-2025Sep30CustomUnified'!$AN119</f>
        <v>-75.23</v>
      </c>
    </row>
    <row r="120" ht="15.75" hidden="1" customHeight="1">
      <c r="A120" s="220" t="s">
        <v>785</v>
      </c>
      <c r="B120" s="220">
        <v>2.4549234341E10</v>
      </c>
      <c r="C120" s="220" t="s">
        <v>443</v>
      </c>
      <c r="D120" s="220" t="s">
        <v>786</v>
      </c>
      <c r="E120" s="220" t="s">
        <v>229</v>
      </c>
      <c r="F120" s="220" t="s">
        <v>501</v>
      </c>
      <c r="G120" s="220">
        <v>1.0</v>
      </c>
      <c r="H120" s="220" t="s">
        <v>446</v>
      </c>
      <c r="I120" s="220" t="s">
        <v>447</v>
      </c>
      <c r="J120" s="220" t="s">
        <v>448</v>
      </c>
      <c r="K120" s="220" t="s">
        <v>787</v>
      </c>
      <c r="L120" s="220" t="s">
        <v>748</v>
      </c>
      <c r="M120" s="220">
        <v>85207.0</v>
      </c>
      <c r="N120" s="220" t="s">
        <v>451</v>
      </c>
      <c r="O120" s="220">
        <v>85.99</v>
      </c>
      <c r="P120" s="220">
        <v>7.14</v>
      </c>
      <c r="Q120" s="220">
        <v>0.0</v>
      </c>
      <c r="R120" s="220">
        <v>0.0</v>
      </c>
      <c r="S120" s="220">
        <v>0.0</v>
      </c>
      <c r="T120" s="220">
        <v>0.0</v>
      </c>
      <c r="U120" s="220">
        <v>0.0</v>
      </c>
      <c r="V120" s="220">
        <v>0.0</v>
      </c>
      <c r="W120" s="220">
        <v>0.0</v>
      </c>
      <c r="X120" s="220">
        <v>0.0</v>
      </c>
      <c r="Y120" s="220">
        <v>-7.14</v>
      </c>
      <c r="Z120" s="220">
        <v>-12.9</v>
      </c>
      <c r="AA120" s="220">
        <v>0.0</v>
      </c>
      <c r="AB120" s="220">
        <v>0.0</v>
      </c>
      <c r="AC120" s="220">
        <v>0.0</v>
      </c>
      <c r="AD120" s="220">
        <v>73.09</v>
      </c>
      <c r="AE120" s="220">
        <f>IF('2025Sep1-2025Sep30CustomUnified'!$C120="order",'2025Sep1-2025Sep30CustomUnified'!$O120,0)</f>
        <v>85.99</v>
      </c>
      <c r="AF120" s="220">
        <f>IF('2025Sep1-2025Sep30CustomUnified'!$C120="refund",'2025Sep1-2025Sep30CustomUnified'!$O120,0)</f>
        <v>0</v>
      </c>
      <c r="AG120" s="220">
        <f>SUM('2025Sep1-2025Sep30CustomUnified'!$AE120:$AF120)</f>
        <v>85.99</v>
      </c>
      <c r="AH120" s="220">
        <f>IF('2025Sep1-2025Sep30CustomUnified'!$C120="order",'2025Sep1-2025Sep30CustomUnified'!$G120,0)</f>
        <v>1</v>
      </c>
      <c r="AI120" s="220">
        <f>IF('2025Sep1-2025Sep30CustomUnified'!$C120="refund",-'2025Sep1-2025Sep30CustomUnified'!$G120,0)</f>
        <v>0</v>
      </c>
      <c r="AJ120" s="220">
        <f>SUM('2025Sep1-2025Sep30CustomUnified'!$AH120:$AI120)</f>
        <v>1</v>
      </c>
      <c r="AK120" s="220">
        <f>'2025Sep1-2025Sep30CustomUnified'!$Z120</f>
        <v>-12.9</v>
      </c>
      <c r="AL120" s="220">
        <f>'2025Sep1-2025Sep30CustomUnified'!$AA120+'2025Sep1-2025Sep30CustomUnified'!$W120+'2025Sep1-2025Sep30CustomUnified'!$U120+'2025Sep1-2025Sep30CustomUnified'!$S120+'2025Sep1-2025Sep30CustomUnified'!$Q120</f>
        <v>0</v>
      </c>
      <c r="AM120" s="220">
        <f>SUM('2025Sep1-2025Sep30CustomUnified'!$AB120:$AC120)</f>
        <v>0</v>
      </c>
      <c r="AN120" s="220">
        <f>SUM('2025Sep1-2025Sep30CustomUnified'!$AK120:$AM120)</f>
        <v>-12.9</v>
      </c>
      <c r="AO120" s="220">
        <f>'2025Sep1-2025Sep30CustomUnified'!$AG120+'2025Sep1-2025Sep30CustomUnified'!$AN120</f>
        <v>73.09</v>
      </c>
    </row>
    <row r="121" ht="15.75" hidden="1" customHeight="1">
      <c r="A121" s="220" t="s">
        <v>788</v>
      </c>
      <c r="B121" s="220">
        <v>2.4549234341E10</v>
      </c>
      <c r="C121" s="220" t="s">
        <v>443</v>
      </c>
      <c r="D121" s="220" t="s">
        <v>789</v>
      </c>
      <c r="E121" s="220" t="s">
        <v>229</v>
      </c>
      <c r="F121" s="220" t="s">
        <v>501</v>
      </c>
      <c r="G121" s="220">
        <v>1.0</v>
      </c>
      <c r="H121" s="220" t="s">
        <v>446</v>
      </c>
      <c r="I121" s="220" t="s">
        <v>447</v>
      </c>
      <c r="J121" s="220" t="s">
        <v>448</v>
      </c>
      <c r="K121" s="220" t="s">
        <v>790</v>
      </c>
      <c r="L121" s="220" t="s">
        <v>450</v>
      </c>
      <c r="M121" s="220">
        <v>99037.0</v>
      </c>
      <c r="N121" s="220" t="s">
        <v>451</v>
      </c>
      <c r="O121" s="220">
        <v>85.99</v>
      </c>
      <c r="P121" s="220">
        <v>7.65</v>
      </c>
      <c r="Q121" s="220">
        <v>0.0</v>
      </c>
      <c r="R121" s="220">
        <v>0.0</v>
      </c>
      <c r="S121" s="220">
        <v>0.0</v>
      </c>
      <c r="T121" s="220">
        <v>0.0</v>
      </c>
      <c r="U121" s="220">
        <v>0.0</v>
      </c>
      <c r="V121" s="220">
        <v>0.0</v>
      </c>
      <c r="W121" s="220">
        <v>0.0</v>
      </c>
      <c r="X121" s="220">
        <v>0.0</v>
      </c>
      <c r="Y121" s="220">
        <v>-7.65</v>
      </c>
      <c r="Z121" s="220">
        <v>-12.9</v>
      </c>
      <c r="AA121" s="220">
        <v>0.0</v>
      </c>
      <c r="AB121" s="220">
        <v>0.0</v>
      </c>
      <c r="AC121" s="220">
        <v>0.0</v>
      </c>
      <c r="AD121" s="220">
        <v>73.09</v>
      </c>
      <c r="AE121" s="220">
        <f>IF('2025Sep1-2025Sep30CustomUnified'!$C121="order",'2025Sep1-2025Sep30CustomUnified'!$O121,0)</f>
        <v>85.99</v>
      </c>
      <c r="AF121" s="220">
        <f>IF('2025Sep1-2025Sep30CustomUnified'!$C121="refund",'2025Sep1-2025Sep30CustomUnified'!$O121,0)</f>
        <v>0</v>
      </c>
      <c r="AG121" s="220">
        <f>SUM('2025Sep1-2025Sep30CustomUnified'!$AE121:$AF121)</f>
        <v>85.99</v>
      </c>
      <c r="AH121" s="220">
        <f>IF('2025Sep1-2025Sep30CustomUnified'!$C121="order",'2025Sep1-2025Sep30CustomUnified'!$G121,0)</f>
        <v>1</v>
      </c>
      <c r="AI121" s="220">
        <f>IF('2025Sep1-2025Sep30CustomUnified'!$C121="refund",-'2025Sep1-2025Sep30CustomUnified'!$G121,0)</f>
        <v>0</v>
      </c>
      <c r="AJ121" s="220">
        <f>SUM('2025Sep1-2025Sep30CustomUnified'!$AH121:$AI121)</f>
        <v>1</v>
      </c>
      <c r="AK121" s="220">
        <f>'2025Sep1-2025Sep30CustomUnified'!$Z121</f>
        <v>-12.9</v>
      </c>
      <c r="AL121" s="220">
        <f>'2025Sep1-2025Sep30CustomUnified'!$AA121+'2025Sep1-2025Sep30CustomUnified'!$W121+'2025Sep1-2025Sep30CustomUnified'!$U121+'2025Sep1-2025Sep30CustomUnified'!$S121+'2025Sep1-2025Sep30CustomUnified'!$Q121</f>
        <v>0</v>
      </c>
      <c r="AM121" s="220">
        <f>SUM('2025Sep1-2025Sep30CustomUnified'!$AB121:$AC121)</f>
        <v>0</v>
      </c>
      <c r="AN121" s="220">
        <f>SUM('2025Sep1-2025Sep30CustomUnified'!$AK121:$AM121)</f>
        <v>-12.9</v>
      </c>
      <c r="AO121" s="220">
        <f>'2025Sep1-2025Sep30CustomUnified'!$AG121+'2025Sep1-2025Sep30CustomUnified'!$AN121</f>
        <v>73.09</v>
      </c>
    </row>
    <row r="122" ht="15.75" hidden="1" customHeight="1">
      <c r="A122" s="220" t="s">
        <v>791</v>
      </c>
      <c r="B122" s="220">
        <v>2.4418312221E10</v>
      </c>
      <c r="C122" s="220" t="s">
        <v>443</v>
      </c>
      <c r="D122" s="220" t="s">
        <v>792</v>
      </c>
      <c r="E122" s="220" t="s">
        <v>393</v>
      </c>
      <c r="F122" s="220" t="s">
        <v>458</v>
      </c>
      <c r="G122" s="220">
        <v>1.0</v>
      </c>
      <c r="H122" s="220" t="s">
        <v>446</v>
      </c>
      <c r="I122" s="220" t="s">
        <v>707</v>
      </c>
      <c r="J122" s="220" t="s">
        <v>448</v>
      </c>
      <c r="K122" s="220" t="s">
        <v>793</v>
      </c>
      <c r="L122" s="220" t="s">
        <v>503</v>
      </c>
      <c r="M122" s="220">
        <v>60185.0</v>
      </c>
      <c r="N122" s="220" t="s">
        <v>451</v>
      </c>
      <c r="O122" s="220">
        <v>229.89</v>
      </c>
      <c r="P122" s="220">
        <v>0.0</v>
      </c>
      <c r="Q122" s="220">
        <v>0.0</v>
      </c>
      <c r="R122" s="220">
        <v>0.0</v>
      </c>
      <c r="S122" s="220">
        <v>0.0</v>
      </c>
      <c r="T122" s="220">
        <v>0.0</v>
      </c>
      <c r="U122" s="220">
        <v>0.0</v>
      </c>
      <c r="V122" s="220">
        <v>0.0</v>
      </c>
      <c r="W122" s="220">
        <v>0.0</v>
      </c>
      <c r="X122" s="220">
        <v>0.0</v>
      </c>
      <c r="Y122" s="220">
        <v>0.0</v>
      </c>
      <c r="Z122" s="220">
        <v>-32.99</v>
      </c>
      <c r="AA122" s="220">
        <v>-22.91</v>
      </c>
      <c r="AB122" s="220">
        <v>0.0</v>
      </c>
      <c r="AC122" s="220">
        <v>0.0</v>
      </c>
      <c r="AD122" s="220">
        <v>173.99</v>
      </c>
      <c r="AE122" s="220">
        <f>IF('2025Sep1-2025Sep30CustomUnified'!$C122="order",'2025Sep1-2025Sep30CustomUnified'!$O122,0)</f>
        <v>229.89</v>
      </c>
      <c r="AF122" s="220">
        <f>IF('2025Sep1-2025Sep30CustomUnified'!$C122="refund",'2025Sep1-2025Sep30CustomUnified'!$O122,0)</f>
        <v>0</v>
      </c>
      <c r="AG122" s="220">
        <f>SUM('2025Sep1-2025Sep30CustomUnified'!$AE122:$AF122)</f>
        <v>229.89</v>
      </c>
      <c r="AH122" s="220">
        <f>IF('2025Sep1-2025Sep30CustomUnified'!$C122="order",'2025Sep1-2025Sep30CustomUnified'!$G122,0)</f>
        <v>1</v>
      </c>
      <c r="AI122" s="220">
        <f>IF('2025Sep1-2025Sep30CustomUnified'!$C122="refund",-'2025Sep1-2025Sep30CustomUnified'!$G122,0)</f>
        <v>0</v>
      </c>
      <c r="AJ122" s="220">
        <f>SUM('2025Sep1-2025Sep30CustomUnified'!$AH122:$AI122)</f>
        <v>1</v>
      </c>
      <c r="AK122" s="220">
        <f>'2025Sep1-2025Sep30CustomUnified'!$Z122</f>
        <v>-32.99</v>
      </c>
      <c r="AL122" s="220">
        <f>'2025Sep1-2025Sep30CustomUnified'!$AA122+'2025Sep1-2025Sep30CustomUnified'!$W122+'2025Sep1-2025Sep30CustomUnified'!$U122+'2025Sep1-2025Sep30CustomUnified'!$S122+'2025Sep1-2025Sep30CustomUnified'!$Q122</f>
        <v>-22.91</v>
      </c>
      <c r="AM122" s="220">
        <f>SUM('2025Sep1-2025Sep30CustomUnified'!$AB122:$AC122)</f>
        <v>0</v>
      </c>
      <c r="AN122" s="220">
        <f>SUM('2025Sep1-2025Sep30CustomUnified'!$AK122:$AM122)</f>
        <v>-55.9</v>
      </c>
      <c r="AO122" s="220">
        <f>'2025Sep1-2025Sep30CustomUnified'!$AG122+'2025Sep1-2025Sep30CustomUnified'!$AN122</f>
        <v>173.99</v>
      </c>
    </row>
    <row r="123" ht="15.75" hidden="1" customHeight="1">
      <c r="A123" s="220" t="s">
        <v>794</v>
      </c>
      <c r="B123" s="220">
        <v>2.4549234341E10</v>
      </c>
      <c r="C123" s="220" t="s">
        <v>443</v>
      </c>
      <c r="D123" s="220" t="s">
        <v>795</v>
      </c>
      <c r="E123" s="220" t="s">
        <v>222</v>
      </c>
      <c r="F123" s="220" t="s">
        <v>445</v>
      </c>
      <c r="G123" s="220">
        <v>1.0</v>
      </c>
      <c r="H123" s="220" t="s">
        <v>446</v>
      </c>
      <c r="I123" s="220" t="s">
        <v>447</v>
      </c>
      <c r="J123" s="220" t="s">
        <v>448</v>
      </c>
      <c r="K123" s="220" t="s">
        <v>796</v>
      </c>
      <c r="L123" s="220" t="s">
        <v>797</v>
      </c>
      <c r="M123" s="220">
        <v>29501.0</v>
      </c>
      <c r="N123" s="220" t="s">
        <v>451</v>
      </c>
      <c r="O123" s="220">
        <v>124.99</v>
      </c>
      <c r="P123" s="220">
        <v>10.0</v>
      </c>
      <c r="Q123" s="220">
        <v>0.0</v>
      </c>
      <c r="R123" s="220">
        <v>0.0</v>
      </c>
      <c r="S123" s="220">
        <v>0.0</v>
      </c>
      <c r="T123" s="220">
        <v>0.0</v>
      </c>
      <c r="U123" s="220">
        <v>0.0</v>
      </c>
      <c r="V123" s="220">
        <v>0.0</v>
      </c>
      <c r="W123" s="220">
        <v>0.0</v>
      </c>
      <c r="X123" s="220">
        <v>0.0</v>
      </c>
      <c r="Y123" s="220">
        <v>-10.0</v>
      </c>
      <c r="Z123" s="220">
        <v>-18.75</v>
      </c>
      <c r="AA123" s="220">
        <v>-16.45</v>
      </c>
      <c r="AB123" s="220">
        <v>0.0</v>
      </c>
      <c r="AC123" s="220">
        <v>0.0</v>
      </c>
      <c r="AD123" s="220">
        <v>89.79</v>
      </c>
      <c r="AE123" s="220">
        <f>IF('2025Sep1-2025Sep30CustomUnified'!$C123="order",'2025Sep1-2025Sep30CustomUnified'!$O123,0)</f>
        <v>124.99</v>
      </c>
      <c r="AF123" s="220">
        <f>IF('2025Sep1-2025Sep30CustomUnified'!$C123="refund",'2025Sep1-2025Sep30CustomUnified'!$O123,0)</f>
        <v>0</v>
      </c>
      <c r="AG123" s="220">
        <f>SUM('2025Sep1-2025Sep30CustomUnified'!$AE123:$AF123)</f>
        <v>124.99</v>
      </c>
      <c r="AH123" s="220">
        <f>IF('2025Sep1-2025Sep30CustomUnified'!$C123="order",'2025Sep1-2025Sep30CustomUnified'!$G123,0)</f>
        <v>1</v>
      </c>
      <c r="AI123" s="220">
        <f>IF('2025Sep1-2025Sep30CustomUnified'!$C123="refund",-'2025Sep1-2025Sep30CustomUnified'!$G123,0)</f>
        <v>0</v>
      </c>
      <c r="AJ123" s="220">
        <f>SUM('2025Sep1-2025Sep30CustomUnified'!$AH123:$AI123)</f>
        <v>1</v>
      </c>
      <c r="AK123" s="220">
        <f>'2025Sep1-2025Sep30CustomUnified'!$Z123</f>
        <v>-18.75</v>
      </c>
      <c r="AL123" s="220">
        <f>'2025Sep1-2025Sep30CustomUnified'!$AA123+'2025Sep1-2025Sep30CustomUnified'!$W123+'2025Sep1-2025Sep30CustomUnified'!$U123+'2025Sep1-2025Sep30CustomUnified'!$S123+'2025Sep1-2025Sep30CustomUnified'!$Q123</f>
        <v>-16.45</v>
      </c>
      <c r="AM123" s="220">
        <f>SUM('2025Sep1-2025Sep30CustomUnified'!$AB123:$AC123)</f>
        <v>0</v>
      </c>
      <c r="AN123" s="220">
        <f>SUM('2025Sep1-2025Sep30CustomUnified'!$AK123:$AM123)</f>
        <v>-35.2</v>
      </c>
      <c r="AO123" s="220">
        <f>'2025Sep1-2025Sep30CustomUnified'!$AG123+'2025Sep1-2025Sep30CustomUnified'!$AN123</f>
        <v>89.79</v>
      </c>
    </row>
    <row r="124" ht="15.75" hidden="1" customHeight="1">
      <c r="A124" s="220" t="s">
        <v>798</v>
      </c>
      <c r="B124" s="220">
        <v>2.4418312221E10</v>
      </c>
      <c r="C124" s="220" t="s">
        <v>443</v>
      </c>
      <c r="D124" s="220" t="s">
        <v>792</v>
      </c>
      <c r="E124" s="220" t="s">
        <v>393</v>
      </c>
      <c r="F124" s="220" t="s">
        <v>458</v>
      </c>
      <c r="G124" s="220">
        <v>1.0</v>
      </c>
      <c r="H124" s="220" t="s">
        <v>446</v>
      </c>
      <c r="I124" s="220" t="s">
        <v>707</v>
      </c>
      <c r="J124" s="220" t="s">
        <v>448</v>
      </c>
      <c r="K124" s="220" t="s">
        <v>793</v>
      </c>
      <c r="L124" s="220" t="s">
        <v>503</v>
      </c>
      <c r="M124" s="220">
        <v>60185.0</v>
      </c>
      <c r="N124" s="220" t="s">
        <v>451</v>
      </c>
      <c r="O124" s="220">
        <v>229.89</v>
      </c>
      <c r="P124" s="220">
        <v>0.0</v>
      </c>
      <c r="Q124" s="220">
        <v>0.0</v>
      </c>
      <c r="R124" s="220">
        <v>0.0</v>
      </c>
      <c r="S124" s="220">
        <v>0.0</v>
      </c>
      <c r="T124" s="220">
        <v>0.0</v>
      </c>
      <c r="U124" s="220">
        <v>0.0</v>
      </c>
      <c r="V124" s="220">
        <v>0.0</v>
      </c>
      <c r="W124" s="220">
        <v>0.0</v>
      </c>
      <c r="X124" s="220">
        <v>0.0</v>
      </c>
      <c r="Y124" s="220">
        <v>0.0</v>
      </c>
      <c r="Z124" s="220">
        <v>-32.99</v>
      </c>
      <c r="AA124" s="220">
        <v>-22.91</v>
      </c>
      <c r="AB124" s="220">
        <v>0.0</v>
      </c>
      <c r="AC124" s="220">
        <v>0.0</v>
      </c>
      <c r="AD124" s="220">
        <v>173.99</v>
      </c>
      <c r="AE124" s="220">
        <f>IF('2025Sep1-2025Sep30CustomUnified'!$C124="order",'2025Sep1-2025Sep30CustomUnified'!$O124,0)</f>
        <v>229.89</v>
      </c>
      <c r="AF124" s="220">
        <f>IF('2025Sep1-2025Sep30CustomUnified'!$C124="refund",'2025Sep1-2025Sep30CustomUnified'!$O124,0)</f>
        <v>0</v>
      </c>
      <c r="AG124" s="220">
        <f>SUM('2025Sep1-2025Sep30CustomUnified'!$AE124:$AF124)</f>
        <v>229.89</v>
      </c>
      <c r="AH124" s="220">
        <f>IF('2025Sep1-2025Sep30CustomUnified'!$C124="order",'2025Sep1-2025Sep30CustomUnified'!$G124,0)</f>
        <v>1</v>
      </c>
      <c r="AI124" s="220">
        <f>IF('2025Sep1-2025Sep30CustomUnified'!$C124="refund",-'2025Sep1-2025Sep30CustomUnified'!$G124,0)</f>
        <v>0</v>
      </c>
      <c r="AJ124" s="220">
        <f>SUM('2025Sep1-2025Sep30CustomUnified'!$AH124:$AI124)</f>
        <v>1</v>
      </c>
      <c r="AK124" s="220">
        <f>'2025Sep1-2025Sep30CustomUnified'!$Z124</f>
        <v>-32.99</v>
      </c>
      <c r="AL124" s="220">
        <f>'2025Sep1-2025Sep30CustomUnified'!$AA124+'2025Sep1-2025Sep30CustomUnified'!$W124+'2025Sep1-2025Sep30CustomUnified'!$U124+'2025Sep1-2025Sep30CustomUnified'!$S124+'2025Sep1-2025Sep30CustomUnified'!$Q124</f>
        <v>-22.91</v>
      </c>
      <c r="AM124" s="220">
        <f>SUM('2025Sep1-2025Sep30CustomUnified'!$AB124:$AC124)</f>
        <v>0</v>
      </c>
      <c r="AN124" s="220">
        <f>SUM('2025Sep1-2025Sep30CustomUnified'!$AK124:$AM124)</f>
        <v>-55.9</v>
      </c>
      <c r="AO124" s="220">
        <f>'2025Sep1-2025Sep30CustomUnified'!$AG124+'2025Sep1-2025Sep30CustomUnified'!$AN124</f>
        <v>173.99</v>
      </c>
    </row>
    <row r="125" ht="15.75" hidden="1" customHeight="1">
      <c r="A125" s="220" t="s">
        <v>799</v>
      </c>
      <c r="B125" s="220">
        <v>2.4549234341E10</v>
      </c>
      <c r="C125" s="220" t="s">
        <v>443</v>
      </c>
      <c r="D125" s="220" t="s">
        <v>800</v>
      </c>
      <c r="E125" s="220" t="s">
        <v>395</v>
      </c>
      <c r="F125" s="220" t="s">
        <v>763</v>
      </c>
      <c r="G125" s="220">
        <v>1.0</v>
      </c>
      <c r="H125" s="220" t="s">
        <v>446</v>
      </c>
      <c r="I125" s="220" t="s">
        <v>447</v>
      </c>
      <c r="J125" s="220" t="s">
        <v>448</v>
      </c>
      <c r="K125" s="220" t="s">
        <v>801</v>
      </c>
      <c r="L125" s="220" t="s">
        <v>455</v>
      </c>
      <c r="M125" s="220">
        <v>93106.0</v>
      </c>
      <c r="N125" s="220" t="s">
        <v>451</v>
      </c>
      <c r="O125" s="220">
        <v>199.19</v>
      </c>
      <c r="P125" s="220">
        <v>15.44</v>
      </c>
      <c r="Q125" s="220">
        <v>0.0</v>
      </c>
      <c r="R125" s="220">
        <v>0.0</v>
      </c>
      <c r="S125" s="220">
        <v>0.0</v>
      </c>
      <c r="T125" s="220">
        <v>0.0</v>
      </c>
      <c r="U125" s="220">
        <v>0.0</v>
      </c>
      <c r="V125" s="220">
        <v>0.0</v>
      </c>
      <c r="W125" s="220">
        <v>0.0</v>
      </c>
      <c r="X125" s="220">
        <v>0.0</v>
      </c>
      <c r="Y125" s="220">
        <v>-15.44</v>
      </c>
      <c r="Z125" s="220">
        <v>-29.88</v>
      </c>
      <c r="AA125" s="220">
        <v>-43.87</v>
      </c>
      <c r="AB125" s="220">
        <v>0.0</v>
      </c>
      <c r="AC125" s="220">
        <v>0.0</v>
      </c>
      <c r="AD125" s="220">
        <v>125.44</v>
      </c>
      <c r="AE125" s="220">
        <f>IF('2025Sep1-2025Sep30CustomUnified'!$C125="order",'2025Sep1-2025Sep30CustomUnified'!$O125,0)</f>
        <v>199.19</v>
      </c>
      <c r="AF125" s="220">
        <f>IF('2025Sep1-2025Sep30CustomUnified'!$C125="refund",'2025Sep1-2025Sep30CustomUnified'!$O125,0)</f>
        <v>0</v>
      </c>
      <c r="AG125" s="220">
        <f>SUM('2025Sep1-2025Sep30CustomUnified'!$AE125:$AF125)</f>
        <v>199.19</v>
      </c>
      <c r="AH125" s="220">
        <f>IF('2025Sep1-2025Sep30CustomUnified'!$C125="order",'2025Sep1-2025Sep30CustomUnified'!$G125,0)</f>
        <v>1</v>
      </c>
      <c r="AI125" s="220">
        <f>IF('2025Sep1-2025Sep30CustomUnified'!$C125="refund",-'2025Sep1-2025Sep30CustomUnified'!$G125,0)</f>
        <v>0</v>
      </c>
      <c r="AJ125" s="220">
        <f>SUM('2025Sep1-2025Sep30CustomUnified'!$AH125:$AI125)</f>
        <v>1</v>
      </c>
      <c r="AK125" s="220">
        <f>'2025Sep1-2025Sep30CustomUnified'!$Z125</f>
        <v>-29.88</v>
      </c>
      <c r="AL125" s="220">
        <f>'2025Sep1-2025Sep30CustomUnified'!$AA125+'2025Sep1-2025Sep30CustomUnified'!$W125+'2025Sep1-2025Sep30CustomUnified'!$U125+'2025Sep1-2025Sep30CustomUnified'!$S125+'2025Sep1-2025Sep30CustomUnified'!$Q125</f>
        <v>-43.87</v>
      </c>
      <c r="AM125" s="220">
        <f>SUM('2025Sep1-2025Sep30CustomUnified'!$AB125:$AC125)</f>
        <v>0</v>
      </c>
      <c r="AN125" s="220">
        <f>SUM('2025Sep1-2025Sep30CustomUnified'!$AK125:$AM125)</f>
        <v>-73.75</v>
      </c>
      <c r="AO125" s="220">
        <f>'2025Sep1-2025Sep30CustomUnified'!$AG125+'2025Sep1-2025Sep30CustomUnified'!$AN125</f>
        <v>125.44</v>
      </c>
    </row>
    <row r="126" ht="15.75" hidden="1" customHeight="1">
      <c r="A126" s="220" t="s">
        <v>802</v>
      </c>
      <c r="B126" s="220">
        <v>2.4549234341E10</v>
      </c>
      <c r="C126" s="220" t="s">
        <v>443</v>
      </c>
      <c r="D126" s="220" t="s">
        <v>803</v>
      </c>
      <c r="E126" s="220" t="s">
        <v>390</v>
      </c>
      <c r="F126" s="220" t="s">
        <v>487</v>
      </c>
      <c r="G126" s="220">
        <v>1.0</v>
      </c>
      <c r="H126" s="220" t="s">
        <v>446</v>
      </c>
      <c r="I126" s="220" t="s">
        <v>447</v>
      </c>
      <c r="J126" s="220" t="s">
        <v>448</v>
      </c>
      <c r="K126" s="220" t="s">
        <v>804</v>
      </c>
      <c r="L126" s="220" t="s">
        <v>450</v>
      </c>
      <c r="M126" s="220">
        <v>98034.0</v>
      </c>
      <c r="N126" s="220" t="s">
        <v>451</v>
      </c>
      <c r="O126" s="220">
        <v>692.99</v>
      </c>
      <c r="P126" s="220">
        <v>71.38</v>
      </c>
      <c r="Q126" s="220">
        <v>0.0</v>
      </c>
      <c r="R126" s="220">
        <v>0.0</v>
      </c>
      <c r="S126" s="220">
        <v>0.0</v>
      </c>
      <c r="T126" s="220">
        <v>0.0</v>
      </c>
      <c r="U126" s="220">
        <v>0.0</v>
      </c>
      <c r="V126" s="220">
        <v>0.0</v>
      </c>
      <c r="W126" s="220">
        <v>0.0</v>
      </c>
      <c r="X126" s="220">
        <v>0.0</v>
      </c>
      <c r="Y126" s="220">
        <v>-71.38</v>
      </c>
      <c r="Z126" s="220">
        <v>-79.3</v>
      </c>
      <c r="AA126" s="220">
        <v>-194.95</v>
      </c>
      <c r="AB126" s="220">
        <v>0.0</v>
      </c>
      <c r="AC126" s="220">
        <v>0.0</v>
      </c>
      <c r="AD126" s="220">
        <v>418.74</v>
      </c>
      <c r="AE126" s="220">
        <f>IF('2025Sep1-2025Sep30CustomUnified'!$C126="order",'2025Sep1-2025Sep30CustomUnified'!$O126,0)</f>
        <v>692.99</v>
      </c>
      <c r="AF126" s="220">
        <f>IF('2025Sep1-2025Sep30CustomUnified'!$C126="refund",'2025Sep1-2025Sep30CustomUnified'!$O126,0)</f>
        <v>0</v>
      </c>
      <c r="AG126" s="220">
        <f>SUM('2025Sep1-2025Sep30CustomUnified'!$AE126:$AF126)</f>
        <v>692.99</v>
      </c>
      <c r="AH126" s="220">
        <f>IF('2025Sep1-2025Sep30CustomUnified'!$C126="order",'2025Sep1-2025Sep30CustomUnified'!$G126,0)</f>
        <v>1</v>
      </c>
      <c r="AI126" s="220">
        <f>IF('2025Sep1-2025Sep30CustomUnified'!$C126="refund",-'2025Sep1-2025Sep30CustomUnified'!$G126,0)</f>
        <v>0</v>
      </c>
      <c r="AJ126" s="220">
        <f>SUM('2025Sep1-2025Sep30CustomUnified'!$AH126:$AI126)</f>
        <v>1</v>
      </c>
      <c r="AK126" s="220">
        <f>'2025Sep1-2025Sep30CustomUnified'!$Z126</f>
        <v>-79.3</v>
      </c>
      <c r="AL126" s="220">
        <f>'2025Sep1-2025Sep30CustomUnified'!$AA126+'2025Sep1-2025Sep30CustomUnified'!$W126+'2025Sep1-2025Sep30CustomUnified'!$U126+'2025Sep1-2025Sep30CustomUnified'!$S126+'2025Sep1-2025Sep30CustomUnified'!$Q126</f>
        <v>-194.95</v>
      </c>
      <c r="AM126" s="220">
        <f>SUM('2025Sep1-2025Sep30CustomUnified'!$AB126:$AC126)</f>
        <v>0</v>
      </c>
      <c r="AN126" s="220">
        <f>SUM('2025Sep1-2025Sep30CustomUnified'!$AK126:$AM126)</f>
        <v>-274.25</v>
      </c>
      <c r="AO126" s="220">
        <f>'2025Sep1-2025Sep30CustomUnified'!$AG126+'2025Sep1-2025Sep30CustomUnified'!$AN126</f>
        <v>418.74</v>
      </c>
    </row>
    <row r="127" ht="15.75" hidden="1" customHeight="1">
      <c r="A127" s="220" t="s">
        <v>805</v>
      </c>
      <c r="B127" s="220">
        <v>2.4549234341E10</v>
      </c>
      <c r="C127" s="220" t="s">
        <v>443</v>
      </c>
      <c r="D127" s="220" t="s">
        <v>806</v>
      </c>
      <c r="E127" s="220" t="s">
        <v>228</v>
      </c>
      <c r="F127" s="220" t="s">
        <v>458</v>
      </c>
      <c r="G127" s="220">
        <v>1.0</v>
      </c>
      <c r="H127" s="220" t="s">
        <v>446</v>
      </c>
      <c r="I127" s="220" t="s">
        <v>447</v>
      </c>
      <c r="J127" s="220" t="s">
        <v>448</v>
      </c>
      <c r="K127" s="220" t="s">
        <v>807</v>
      </c>
      <c r="L127" s="220" t="s">
        <v>808</v>
      </c>
      <c r="M127" s="220">
        <v>66212.0</v>
      </c>
      <c r="N127" s="220" t="s">
        <v>451</v>
      </c>
      <c r="O127" s="220">
        <v>229.99</v>
      </c>
      <c r="P127" s="220">
        <v>21.5</v>
      </c>
      <c r="Q127" s="220">
        <v>0.0</v>
      </c>
      <c r="R127" s="220">
        <v>0.0</v>
      </c>
      <c r="S127" s="220">
        <v>0.0</v>
      </c>
      <c r="T127" s="220">
        <v>0.0</v>
      </c>
      <c r="U127" s="220">
        <v>0.0</v>
      </c>
      <c r="V127" s="220">
        <v>0.0</v>
      </c>
      <c r="W127" s="220">
        <v>0.0</v>
      </c>
      <c r="X127" s="220">
        <v>0.0</v>
      </c>
      <c r="Y127" s="220">
        <v>-21.5</v>
      </c>
      <c r="Z127" s="220">
        <v>-33.0</v>
      </c>
      <c r="AA127" s="220">
        <v>-21.39</v>
      </c>
      <c r="AB127" s="220">
        <v>0.0</v>
      </c>
      <c r="AC127" s="220">
        <v>0.0</v>
      </c>
      <c r="AD127" s="220">
        <v>175.6</v>
      </c>
      <c r="AE127" s="220">
        <f>IF('2025Sep1-2025Sep30CustomUnified'!$C127="order",'2025Sep1-2025Sep30CustomUnified'!$O127,0)</f>
        <v>229.99</v>
      </c>
      <c r="AF127" s="220">
        <f>IF('2025Sep1-2025Sep30CustomUnified'!$C127="refund",'2025Sep1-2025Sep30CustomUnified'!$O127,0)</f>
        <v>0</v>
      </c>
      <c r="AG127" s="220">
        <f>SUM('2025Sep1-2025Sep30CustomUnified'!$AE127:$AF127)</f>
        <v>229.99</v>
      </c>
      <c r="AH127" s="220">
        <f>IF('2025Sep1-2025Sep30CustomUnified'!$C127="order",'2025Sep1-2025Sep30CustomUnified'!$G127,0)</f>
        <v>1</v>
      </c>
      <c r="AI127" s="220">
        <f>IF('2025Sep1-2025Sep30CustomUnified'!$C127="refund",-'2025Sep1-2025Sep30CustomUnified'!$G127,0)</f>
        <v>0</v>
      </c>
      <c r="AJ127" s="220">
        <f>SUM('2025Sep1-2025Sep30CustomUnified'!$AH127:$AI127)</f>
        <v>1</v>
      </c>
      <c r="AK127" s="220">
        <f>'2025Sep1-2025Sep30CustomUnified'!$Z127</f>
        <v>-33</v>
      </c>
      <c r="AL127" s="220">
        <f>'2025Sep1-2025Sep30CustomUnified'!$AA127+'2025Sep1-2025Sep30CustomUnified'!$W127+'2025Sep1-2025Sep30CustomUnified'!$U127+'2025Sep1-2025Sep30CustomUnified'!$S127+'2025Sep1-2025Sep30CustomUnified'!$Q127</f>
        <v>-21.39</v>
      </c>
      <c r="AM127" s="220">
        <f>SUM('2025Sep1-2025Sep30CustomUnified'!$AB127:$AC127)</f>
        <v>0</v>
      </c>
      <c r="AN127" s="220">
        <f>SUM('2025Sep1-2025Sep30CustomUnified'!$AK127:$AM127)</f>
        <v>-54.39</v>
      </c>
      <c r="AO127" s="220">
        <f>'2025Sep1-2025Sep30CustomUnified'!$AG127+'2025Sep1-2025Sep30CustomUnified'!$AN127</f>
        <v>175.6</v>
      </c>
    </row>
    <row r="128" ht="15.75" hidden="1" customHeight="1">
      <c r="A128" s="220" t="s">
        <v>809</v>
      </c>
      <c r="B128" s="220">
        <v>2.4549234341E10</v>
      </c>
      <c r="C128" s="220" t="s">
        <v>466</v>
      </c>
      <c r="D128" s="220" t="s">
        <v>803</v>
      </c>
      <c r="E128" s="220" t="s">
        <v>390</v>
      </c>
      <c r="F128" s="220" t="s">
        <v>487</v>
      </c>
      <c r="G128" s="220">
        <v>1.0</v>
      </c>
      <c r="H128" s="220" t="s">
        <v>446</v>
      </c>
      <c r="I128" s="220" t="s">
        <v>447</v>
      </c>
      <c r="J128" s="220" t="s">
        <v>448</v>
      </c>
      <c r="K128" s="220" t="s">
        <v>804</v>
      </c>
      <c r="L128" s="220" t="s">
        <v>450</v>
      </c>
      <c r="M128" s="220">
        <v>98034.0</v>
      </c>
      <c r="N128" s="220" t="s">
        <v>451</v>
      </c>
      <c r="O128" s="220">
        <v>-692.99</v>
      </c>
      <c r="P128" s="220">
        <v>-71.38</v>
      </c>
      <c r="Q128" s="220">
        <v>0.0</v>
      </c>
      <c r="R128" s="220">
        <v>0.0</v>
      </c>
      <c r="S128" s="220">
        <v>0.0</v>
      </c>
      <c r="T128" s="220">
        <v>0.0</v>
      </c>
      <c r="U128" s="220">
        <v>0.0</v>
      </c>
      <c r="V128" s="220">
        <v>0.0</v>
      </c>
      <c r="W128" s="220">
        <v>0.0</v>
      </c>
      <c r="X128" s="220">
        <v>0.0</v>
      </c>
      <c r="Y128" s="220">
        <v>71.38</v>
      </c>
      <c r="Z128" s="220">
        <v>74.3</v>
      </c>
      <c r="AA128" s="220">
        <v>0.0</v>
      </c>
      <c r="AB128" s="220">
        <v>0.0</v>
      </c>
      <c r="AC128" s="220">
        <v>0.0</v>
      </c>
      <c r="AD128" s="220">
        <v>-618.69</v>
      </c>
      <c r="AE128" s="220">
        <f>IF('2025Sep1-2025Sep30CustomUnified'!$C128="order",'2025Sep1-2025Sep30CustomUnified'!$O128,0)</f>
        <v>0</v>
      </c>
      <c r="AF128" s="220">
        <f>IF('2025Sep1-2025Sep30CustomUnified'!$C128="refund",'2025Sep1-2025Sep30CustomUnified'!$O128,0)</f>
        <v>-692.99</v>
      </c>
      <c r="AG128" s="220">
        <f>SUM('2025Sep1-2025Sep30CustomUnified'!$AE128:$AF128)</f>
        <v>-692.99</v>
      </c>
      <c r="AH128" s="220">
        <f>IF('2025Sep1-2025Sep30CustomUnified'!$C128="order",'2025Sep1-2025Sep30CustomUnified'!$G128,0)</f>
        <v>0</v>
      </c>
      <c r="AI128" s="220">
        <f>IF('2025Sep1-2025Sep30CustomUnified'!$C128="refund",-'2025Sep1-2025Sep30CustomUnified'!$G128,0)</f>
        <v>-1</v>
      </c>
      <c r="AJ128" s="220">
        <f>SUM('2025Sep1-2025Sep30CustomUnified'!$AH128:$AI128)</f>
        <v>-1</v>
      </c>
      <c r="AK128" s="220">
        <f>'2025Sep1-2025Sep30CustomUnified'!$Z128</f>
        <v>74.3</v>
      </c>
      <c r="AL128" s="220">
        <f>'2025Sep1-2025Sep30CustomUnified'!$AA128+'2025Sep1-2025Sep30CustomUnified'!$W128+'2025Sep1-2025Sep30CustomUnified'!$U128+'2025Sep1-2025Sep30CustomUnified'!$S128+'2025Sep1-2025Sep30CustomUnified'!$Q128</f>
        <v>0</v>
      </c>
      <c r="AM128" s="220">
        <f>SUM('2025Sep1-2025Sep30CustomUnified'!$AB128:$AC128)</f>
        <v>0</v>
      </c>
      <c r="AN128" s="220">
        <f>SUM('2025Sep1-2025Sep30CustomUnified'!$AK128:$AM128)</f>
        <v>74.3</v>
      </c>
      <c r="AO128" s="220">
        <f>'2025Sep1-2025Sep30CustomUnified'!$AG128+'2025Sep1-2025Sep30CustomUnified'!$AN128</f>
        <v>-618.69</v>
      </c>
    </row>
    <row r="129" ht="15.75" hidden="1" customHeight="1">
      <c r="A129" s="220" t="s">
        <v>810</v>
      </c>
      <c r="B129" s="220">
        <v>2.4549234341E10</v>
      </c>
      <c r="C129" s="220" t="s">
        <v>443</v>
      </c>
      <c r="D129" s="220" t="s">
        <v>811</v>
      </c>
      <c r="E129" s="220" t="s">
        <v>224</v>
      </c>
      <c r="F129" s="220" t="s">
        <v>495</v>
      </c>
      <c r="G129" s="220">
        <v>1.0</v>
      </c>
      <c r="H129" s="220" t="s">
        <v>446</v>
      </c>
      <c r="I129" s="220" t="s">
        <v>447</v>
      </c>
      <c r="J129" s="220" t="s">
        <v>448</v>
      </c>
      <c r="K129" s="220" t="s">
        <v>812</v>
      </c>
      <c r="L129" s="220" t="s">
        <v>475</v>
      </c>
      <c r="M129" s="220">
        <v>34221.0</v>
      </c>
      <c r="N129" s="220" t="s">
        <v>451</v>
      </c>
      <c r="O129" s="220">
        <v>129.99</v>
      </c>
      <c r="P129" s="220">
        <v>9.1</v>
      </c>
      <c r="Q129" s="220">
        <v>0.0</v>
      </c>
      <c r="R129" s="220">
        <v>0.0</v>
      </c>
      <c r="S129" s="220">
        <v>0.0</v>
      </c>
      <c r="T129" s="220">
        <v>0.0</v>
      </c>
      <c r="U129" s="220">
        <v>0.0</v>
      </c>
      <c r="V129" s="220">
        <v>0.0</v>
      </c>
      <c r="W129" s="220">
        <v>0.0</v>
      </c>
      <c r="X129" s="220">
        <v>0.0</v>
      </c>
      <c r="Y129" s="220">
        <v>-9.1</v>
      </c>
      <c r="Z129" s="220">
        <v>-19.5</v>
      </c>
      <c r="AA129" s="220">
        <v>-16.45</v>
      </c>
      <c r="AB129" s="220">
        <v>0.0</v>
      </c>
      <c r="AC129" s="220">
        <v>0.0</v>
      </c>
      <c r="AD129" s="220">
        <v>94.04</v>
      </c>
      <c r="AE129" s="220">
        <f>IF('2025Sep1-2025Sep30CustomUnified'!$C129="order",'2025Sep1-2025Sep30CustomUnified'!$O129,0)</f>
        <v>129.99</v>
      </c>
      <c r="AF129" s="220">
        <f>IF('2025Sep1-2025Sep30CustomUnified'!$C129="refund",'2025Sep1-2025Sep30CustomUnified'!$O129,0)</f>
        <v>0</v>
      </c>
      <c r="AG129" s="220">
        <f>SUM('2025Sep1-2025Sep30CustomUnified'!$AE129:$AF129)</f>
        <v>129.99</v>
      </c>
      <c r="AH129" s="220">
        <f>IF('2025Sep1-2025Sep30CustomUnified'!$C129="order",'2025Sep1-2025Sep30CustomUnified'!$G129,0)</f>
        <v>1</v>
      </c>
      <c r="AI129" s="220">
        <f>IF('2025Sep1-2025Sep30CustomUnified'!$C129="refund",-'2025Sep1-2025Sep30CustomUnified'!$G129,0)</f>
        <v>0</v>
      </c>
      <c r="AJ129" s="220">
        <f>SUM('2025Sep1-2025Sep30CustomUnified'!$AH129:$AI129)</f>
        <v>1</v>
      </c>
      <c r="AK129" s="220">
        <f>'2025Sep1-2025Sep30CustomUnified'!$Z129</f>
        <v>-19.5</v>
      </c>
      <c r="AL129" s="220">
        <f>'2025Sep1-2025Sep30CustomUnified'!$AA129+'2025Sep1-2025Sep30CustomUnified'!$W129+'2025Sep1-2025Sep30CustomUnified'!$U129+'2025Sep1-2025Sep30CustomUnified'!$S129+'2025Sep1-2025Sep30CustomUnified'!$Q129</f>
        <v>-16.45</v>
      </c>
      <c r="AM129" s="220">
        <f>SUM('2025Sep1-2025Sep30CustomUnified'!$AB129:$AC129)</f>
        <v>0</v>
      </c>
      <c r="AN129" s="220">
        <f>SUM('2025Sep1-2025Sep30CustomUnified'!$AK129:$AM129)</f>
        <v>-35.95</v>
      </c>
      <c r="AO129" s="220">
        <f>'2025Sep1-2025Sep30CustomUnified'!$AG129+'2025Sep1-2025Sep30CustomUnified'!$AN129</f>
        <v>94.04</v>
      </c>
    </row>
    <row r="130" ht="15.75" hidden="1" customHeight="1">
      <c r="A130" s="220" t="s">
        <v>813</v>
      </c>
      <c r="B130" s="220">
        <v>2.4549234341E10</v>
      </c>
      <c r="C130" s="220" t="s">
        <v>466</v>
      </c>
      <c r="D130" s="220" t="s">
        <v>786</v>
      </c>
      <c r="E130" s="220" t="s">
        <v>229</v>
      </c>
      <c r="F130" s="220" t="s">
        <v>501</v>
      </c>
      <c r="G130" s="220">
        <v>1.0</v>
      </c>
      <c r="H130" s="220" t="s">
        <v>446</v>
      </c>
      <c r="I130" s="220" t="s">
        <v>447</v>
      </c>
      <c r="J130" s="220" t="s">
        <v>448</v>
      </c>
      <c r="K130" s="220" t="s">
        <v>787</v>
      </c>
      <c r="L130" s="220" t="s">
        <v>748</v>
      </c>
      <c r="M130" s="220">
        <v>85207.0</v>
      </c>
      <c r="N130" s="220" t="s">
        <v>451</v>
      </c>
      <c r="O130" s="220">
        <v>-85.99</v>
      </c>
      <c r="P130" s="220">
        <v>-7.14</v>
      </c>
      <c r="Q130" s="220">
        <v>0.0</v>
      </c>
      <c r="R130" s="220">
        <v>0.0</v>
      </c>
      <c r="S130" s="220">
        <v>0.0</v>
      </c>
      <c r="T130" s="220">
        <v>0.0</v>
      </c>
      <c r="U130" s="220">
        <v>0.0</v>
      </c>
      <c r="V130" s="220">
        <v>0.0</v>
      </c>
      <c r="W130" s="220">
        <v>0.0</v>
      </c>
      <c r="X130" s="220">
        <v>0.0</v>
      </c>
      <c r="Y130" s="220">
        <v>7.14</v>
      </c>
      <c r="Z130" s="220">
        <v>10.32</v>
      </c>
      <c r="AA130" s="220">
        <v>0.0</v>
      </c>
      <c r="AB130" s="220">
        <v>0.0</v>
      </c>
      <c r="AC130" s="220">
        <v>0.0</v>
      </c>
      <c r="AD130" s="220">
        <v>-75.67</v>
      </c>
      <c r="AE130" s="220">
        <f>IF('2025Sep1-2025Sep30CustomUnified'!$C130="order",'2025Sep1-2025Sep30CustomUnified'!$O130,0)</f>
        <v>0</v>
      </c>
      <c r="AF130" s="220">
        <f>IF('2025Sep1-2025Sep30CustomUnified'!$C130="refund",'2025Sep1-2025Sep30CustomUnified'!$O130,0)</f>
        <v>-85.99</v>
      </c>
      <c r="AG130" s="220">
        <f>SUM('2025Sep1-2025Sep30CustomUnified'!$AE130:$AF130)</f>
        <v>-85.99</v>
      </c>
      <c r="AH130" s="220">
        <f>IF('2025Sep1-2025Sep30CustomUnified'!$C130="order",'2025Sep1-2025Sep30CustomUnified'!$G130,0)</f>
        <v>0</v>
      </c>
      <c r="AI130" s="220">
        <f>IF('2025Sep1-2025Sep30CustomUnified'!$C130="refund",-'2025Sep1-2025Sep30CustomUnified'!$G130,0)</f>
        <v>-1</v>
      </c>
      <c r="AJ130" s="220">
        <f>SUM('2025Sep1-2025Sep30CustomUnified'!$AH130:$AI130)</f>
        <v>-1</v>
      </c>
      <c r="AK130" s="220">
        <f>'2025Sep1-2025Sep30CustomUnified'!$Z130</f>
        <v>10.32</v>
      </c>
      <c r="AL130" s="220">
        <f>'2025Sep1-2025Sep30CustomUnified'!$AA130+'2025Sep1-2025Sep30CustomUnified'!$W130+'2025Sep1-2025Sep30CustomUnified'!$U130+'2025Sep1-2025Sep30CustomUnified'!$S130+'2025Sep1-2025Sep30CustomUnified'!$Q130</f>
        <v>0</v>
      </c>
      <c r="AM130" s="220">
        <f>SUM('2025Sep1-2025Sep30CustomUnified'!$AB130:$AC130)</f>
        <v>0</v>
      </c>
      <c r="AN130" s="220">
        <f>SUM('2025Sep1-2025Sep30CustomUnified'!$AK130:$AM130)</f>
        <v>10.32</v>
      </c>
      <c r="AO130" s="220">
        <f>'2025Sep1-2025Sep30CustomUnified'!$AG130+'2025Sep1-2025Sep30CustomUnified'!$AN130</f>
        <v>-75.67</v>
      </c>
    </row>
    <row r="131" ht="15.75" hidden="1" customHeight="1">
      <c r="A131" s="220" t="s">
        <v>814</v>
      </c>
      <c r="B131" s="220">
        <v>2.4549234341E10</v>
      </c>
      <c r="C131" s="220" t="s">
        <v>443</v>
      </c>
      <c r="D131" s="220" t="s">
        <v>815</v>
      </c>
      <c r="E131" s="220" t="s">
        <v>224</v>
      </c>
      <c r="F131" s="220" t="s">
        <v>495</v>
      </c>
      <c r="G131" s="220">
        <v>1.0</v>
      </c>
      <c r="H131" s="220" t="s">
        <v>446</v>
      </c>
      <c r="I131" s="220" t="s">
        <v>447</v>
      </c>
      <c r="J131" s="220" t="s">
        <v>448</v>
      </c>
      <c r="K131" s="220" t="s">
        <v>816</v>
      </c>
      <c r="L131" s="220" t="s">
        <v>817</v>
      </c>
      <c r="M131" s="221" t="s">
        <v>818</v>
      </c>
      <c r="N131" s="220"/>
      <c r="O131" s="220">
        <v>129.99</v>
      </c>
      <c r="P131" s="220">
        <v>0.0</v>
      </c>
      <c r="Q131" s="220">
        <v>0.0</v>
      </c>
      <c r="R131" s="220">
        <v>0.0</v>
      </c>
      <c r="S131" s="220">
        <v>0.0</v>
      </c>
      <c r="T131" s="220">
        <v>0.0</v>
      </c>
      <c r="U131" s="220">
        <v>0.0</v>
      </c>
      <c r="V131" s="220">
        <v>0.0</v>
      </c>
      <c r="W131" s="220">
        <v>0.0</v>
      </c>
      <c r="X131" s="220">
        <v>0.0</v>
      </c>
      <c r="Y131" s="220">
        <v>0.0</v>
      </c>
      <c r="Z131" s="220">
        <v>-19.5</v>
      </c>
      <c r="AA131" s="220">
        <v>-16.45</v>
      </c>
      <c r="AB131" s="220">
        <v>0.0</v>
      </c>
      <c r="AC131" s="220">
        <v>0.0</v>
      </c>
      <c r="AD131" s="220">
        <v>94.04</v>
      </c>
      <c r="AE131" s="220">
        <f>IF('2025Sep1-2025Sep30CustomUnified'!$C131="order",'2025Sep1-2025Sep30CustomUnified'!$O131,0)</f>
        <v>129.99</v>
      </c>
      <c r="AF131" s="220">
        <f>IF('2025Sep1-2025Sep30CustomUnified'!$C131="refund",'2025Sep1-2025Sep30CustomUnified'!$O131,0)</f>
        <v>0</v>
      </c>
      <c r="AG131" s="220">
        <f>SUM('2025Sep1-2025Sep30CustomUnified'!$AE131:$AF131)</f>
        <v>129.99</v>
      </c>
      <c r="AH131" s="220">
        <f>IF('2025Sep1-2025Sep30CustomUnified'!$C131="order",'2025Sep1-2025Sep30CustomUnified'!$G131,0)</f>
        <v>1</v>
      </c>
      <c r="AI131" s="220">
        <f>IF('2025Sep1-2025Sep30CustomUnified'!$C131="refund",-'2025Sep1-2025Sep30CustomUnified'!$G131,0)</f>
        <v>0</v>
      </c>
      <c r="AJ131" s="220">
        <f>SUM('2025Sep1-2025Sep30CustomUnified'!$AH131:$AI131)</f>
        <v>1</v>
      </c>
      <c r="AK131" s="220">
        <f>'2025Sep1-2025Sep30CustomUnified'!$Z131</f>
        <v>-19.5</v>
      </c>
      <c r="AL131" s="220">
        <f>'2025Sep1-2025Sep30CustomUnified'!$AA131+'2025Sep1-2025Sep30CustomUnified'!$W131+'2025Sep1-2025Sep30CustomUnified'!$U131+'2025Sep1-2025Sep30CustomUnified'!$S131+'2025Sep1-2025Sep30CustomUnified'!$Q131</f>
        <v>-16.45</v>
      </c>
      <c r="AM131" s="220">
        <f>SUM('2025Sep1-2025Sep30CustomUnified'!$AB131:$AC131)</f>
        <v>0</v>
      </c>
      <c r="AN131" s="220">
        <f>SUM('2025Sep1-2025Sep30CustomUnified'!$AK131:$AM131)</f>
        <v>-35.95</v>
      </c>
      <c r="AO131" s="220">
        <f>'2025Sep1-2025Sep30CustomUnified'!$AG131+'2025Sep1-2025Sep30CustomUnified'!$AN131</f>
        <v>94.04</v>
      </c>
    </row>
    <row r="132" ht="15.75" hidden="1" customHeight="1">
      <c r="A132" s="220" t="s">
        <v>819</v>
      </c>
      <c r="B132" s="220">
        <v>2.4549234341E10</v>
      </c>
      <c r="C132" s="220" t="s">
        <v>443</v>
      </c>
      <c r="D132" s="220" t="s">
        <v>820</v>
      </c>
      <c r="E132" s="220" t="s">
        <v>229</v>
      </c>
      <c r="F132" s="220" t="s">
        <v>501</v>
      </c>
      <c r="G132" s="220">
        <v>1.0</v>
      </c>
      <c r="H132" s="220" t="s">
        <v>446</v>
      </c>
      <c r="I132" s="220" t="s">
        <v>447</v>
      </c>
      <c r="J132" s="220" t="s">
        <v>448</v>
      </c>
      <c r="K132" s="220" t="s">
        <v>821</v>
      </c>
      <c r="L132" s="220" t="s">
        <v>822</v>
      </c>
      <c r="M132" s="220">
        <v>40601.0</v>
      </c>
      <c r="N132" s="220" t="s">
        <v>451</v>
      </c>
      <c r="O132" s="220">
        <v>89.99</v>
      </c>
      <c r="P132" s="220">
        <v>0.0</v>
      </c>
      <c r="Q132" s="220">
        <v>0.0</v>
      </c>
      <c r="R132" s="220">
        <v>0.0</v>
      </c>
      <c r="S132" s="220">
        <v>0.0</v>
      </c>
      <c r="T132" s="220">
        <v>0.0</v>
      </c>
      <c r="U132" s="220">
        <v>0.0</v>
      </c>
      <c r="V132" s="220">
        <v>0.0</v>
      </c>
      <c r="W132" s="220">
        <v>0.0</v>
      </c>
      <c r="X132" s="220">
        <v>0.0</v>
      </c>
      <c r="Y132" s="220">
        <v>0.0</v>
      </c>
      <c r="Z132" s="220">
        <v>-13.5</v>
      </c>
      <c r="AA132" s="220">
        <v>0.0</v>
      </c>
      <c r="AB132" s="220">
        <v>0.0</v>
      </c>
      <c r="AC132" s="220">
        <v>0.0</v>
      </c>
      <c r="AD132" s="220">
        <v>76.49</v>
      </c>
      <c r="AE132" s="220">
        <f>IF('2025Sep1-2025Sep30CustomUnified'!$C132="order",'2025Sep1-2025Sep30CustomUnified'!$O132,0)</f>
        <v>89.99</v>
      </c>
      <c r="AF132" s="220">
        <f>IF('2025Sep1-2025Sep30CustomUnified'!$C132="refund",'2025Sep1-2025Sep30CustomUnified'!$O132,0)</f>
        <v>0</v>
      </c>
      <c r="AG132" s="220">
        <f>SUM('2025Sep1-2025Sep30CustomUnified'!$AE132:$AF132)</f>
        <v>89.99</v>
      </c>
      <c r="AH132" s="220">
        <f>IF('2025Sep1-2025Sep30CustomUnified'!$C132="order",'2025Sep1-2025Sep30CustomUnified'!$G132,0)</f>
        <v>1</v>
      </c>
      <c r="AI132" s="220">
        <f>IF('2025Sep1-2025Sep30CustomUnified'!$C132="refund",-'2025Sep1-2025Sep30CustomUnified'!$G132,0)</f>
        <v>0</v>
      </c>
      <c r="AJ132" s="220">
        <f>SUM('2025Sep1-2025Sep30CustomUnified'!$AH132:$AI132)</f>
        <v>1</v>
      </c>
      <c r="AK132" s="220">
        <f>'2025Sep1-2025Sep30CustomUnified'!$Z132</f>
        <v>-13.5</v>
      </c>
      <c r="AL132" s="220">
        <f>'2025Sep1-2025Sep30CustomUnified'!$AA132+'2025Sep1-2025Sep30CustomUnified'!$W132+'2025Sep1-2025Sep30CustomUnified'!$U132+'2025Sep1-2025Sep30CustomUnified'!$S132+'2025Sep1-2025Sep30CustomUnified'!$Q132</f>
        <v>0</v>
      </c>
      <c r="AM132" s="220">
        <f>SUM('2025Sep1-2025Sep30CustomUnified'!$AB132:$AC132)</f>
        <v>0</v>
      </c>
      <c r="AN132" s="220">
        <f>SUM('2025Sep1-2025Sep30CustomUnified'!$AK132:$AM132)</f>
        <v>-13.5</v>
      </c>
      <c r="AO132" s="220">
        <f>'2025Sep1-2025Sep30CustomUnified'!$AG132+'2025Sep1-2025Sep30CustomUnified'!$AN132</f>
        <v>76.49</v>
      </c>
    </row>
    <row r="133" ht="15.75" hidden="1" customHeight="1">
      <c r="A133" s="220" t="s">
        <v>823</v>
      </c>
      <c r="B133" s="220">
        <v>2.4549234341E10</v>
      </c>
      <c r="C133" s="220" t="s">
        <v>443</v>
      </c>
      <c r="D133" s="220" t="s">
        <v>824</v>
      </c>
      <c r="E133" s="220" t="s">
        <v>222</v>
      </c>
      <c r="F133" s="220" t="s">
        <v>445</v>
      </c>
      <c r="G133" s="220">
        <v>1.0</v>
      </c>
      <c r="H133" s="220" t="s">
        <v>446</v>
      </c>
      <c r="I133" s="220" t="s">
        <v>447</v>
      </c>
      <c r="J133" s="220" t="s">
        <v>448</v>
      </c>
      <c r="K133" s="220" t="s">
        <v>825</v>
      </c>
      <c r="L133" s="220" t="s">
        <v>503</v>
      </c>
      <c r="M133" s="220">
        <v>60527.0</v>
      </c>
      <c r="N133" s="220" t="s">
        <v>451</v>
      </c>
      <c r="O133" s="220">
        <v>129.99</v>
      </c>
      <c r="P133" s="220">
        <v>0.0</v>
      </c>
      <c r="Q133" s="220">
        <v>0.0</v>
      </c>
      <c r="R133" s="220">
        <v>0.0</v>
      </c>
      <c r="S133" s="220">
        <v>0.0</v>
      </c>
      <c r="T133" s="220">
        <v>0.0</v>
      </c>
      <c r="U133" s="220">
        <v>0.0</v>
      </c>
      <c r="V133" s="220">
        <v>0.0</v>
      </c>
      <c r="W133" s="220">
        <v>0.0</v>
      </c>
      <c r="X133" s="220">
        <v>0.0</v>
      </c>
      <c r="Y133" s="220">
        <v>0.0</v>
      </c>
      <c r="Z133" s="220">
        <v>-19.5</v>
      </c>
      <c r="AA133" s="220">
        <v>-16.45</v>
      </c>
      <c r="AB133" s="220">
        <v>0.0</v>
      </c>
      <c r="AC133" s="220">
        <v>0.0</v>
      </c>
      <c r="AD133" s="220">
        <v>94.04</v>
      </c>
      <c r="AE133" s="220">
        <f>IF('2025Sep1-2025Sep30CustomUnified'!$C133="order",'2025Sep1-2025Sep30CustomUnified'!$O133,0)</f>
        <v>129.99</v>
      </c>
      <c r="AF133" s="220">
        <f>IF('2025Sep1-2025Sep30CustomUnified'!$C133="refund",'2025Sep1-2025Sep30CustomUnified'!$O133,0)</f>
        <v>0</v>
      </c>
      <c r="AG133" s="220">
        <f>SUM('2025Sep1-2025Sep30CustomUnified'!$AE133:$AF133)</f>
        <v>129.99</v>
      </c>
      <c r="AH133" s="220">
        <f>IF('2025Sep1-2025Sep30CustomUnified'!$C133="order",'2025Sep1-2025Sep30CustomUnified'!$G133,0)</f>
        <v>1</v>
      </c>
      <c r="AI133" s="220">
        <f>IF('2025Sep1-2025Sep30CustomUnified'!$C133="refund",-'2025Sep1-2025Sep30CustomUnified'!$G133,0)</f>
        <v>0</v>
      </c>
      <c r="AJ133" s="220">
        <f>SUM('2025Sep1-2025Sep30CustomUnified'!$AH133:$AI133)</f>
        <v>1</v>
      </c>
      <c r="AK133" s="220">
        <f>'2025Sep1-2025Sep30CustomUnified'!$Z133</f>
        <v>-19.5</v>
      </c>
      <c r="AL133" s="220">
        <f>'2025Sep1-2025Sep30CustomUnified'!$AA133+'2025Sep1-2025Sep30CustomUnified'!$W133+'2025Sep1-2025Sep30CustomUnified'!$U133+'2025Sep1-2025Sep30CustomUnified'!$S133+'2025Sep1-2025Sep30CustomUnified'!$Q133</f>
        <v>-16.45</v>
      </c>
      <c r="AM133" s="220">
        <f>SUM('2025Sep1-2025Sep30CustomUnified'!$AB133:$AC133)</f>
        <v>0</v>
      </c>
      <c r="AN133" s="220">
        <f>SUM('2025Sep1-2025Sep30CustomUnified'!$AK133:$AM133)</f>
        <v>-35.95</v>
      </c>
      <c r="AO133" s="220">
        <f>'2025Sep1-2025Sep30CustomUnified'!$AG133+'2025Sep1-2025Sep30CustomUnified'!$AN133</f>
        <v>94.04</v>
      </c>
    </row>
    <row r="134" ht="15.75" hidden="1" customHeight="1">
      <c r="A134" s="220" t="s">
        <v>826</v>
      </c>
      <c r="B134" s="220">
        <v>2.4549234341E10</v>
      </c>
      <c r="C134" s="220" t="s">
        <v>443</v>
      </c>
      <c r="D134" s="220" t="s">
        <v>827</v>
      </c>
      <c r="E134" s="220" t="s">
        <v>222</v>
      </c>
      <c r="F134" s="220" t="s">
        <v>445</v>
      </c>
      <c r="G134" s="220">
        <v>1.0</v>
      </c>
      <c r="H134" s="220" t="s">
        <v>446</v>
      </c>
      <c r="I134" s="220" t="s">
        <v>447</v>
      </c>
      <c r="J134" s="220" t="s">
        <v>448</v>
      </c>
      <c r="K134" s="220" t="s">
        <v>683</v>
      </c>
      <c r="L134" s="220" t="s">
        <v>475</v>
      </c>
      <c r="M134" s="220">
        <v>33186.0</v>
      </c>
      <c r="N134" s="220" t="s">
        <v>451</v>
      </c>
      <c r="O134" s="220">
        <v>124.99</v>
      </c>
      <c r="P134" s="220">
        <v>8.75</v>
      </c>
      <c r="Q134" s="220">
        <v>0.0</v>
      </c>
      <c r="R134" s="220">
        <v>0.0</v>
      </c>
      <c r="S134" s="220">
        <v>0.0</v>
      </c>
      <c r="T134" s="220">
        <v>0.0</v>
      </c>
      <c r="U134" s="220">
        <v>0.0</v>
      </c>
      <c r="V134" s="220">
        <v>0.0</v>
      </c>
      <c r="W134" s="220">
        <v>0.0</v>
      </c>
      <c r="X134" s="220">
        <v>0.0</v>
      </c>
      <c r="Y134" s="220">
        <v>-8.75</v>
      </c>
      <c r="Z134" s="220">
        <v>-18.75</v>
      </c>
      <c r="AA134" s="220">
        <v>-16.45</v>
      </c>
      <c r="AB134" s="220">
        <v>0.0</v>
      </c>
      <c r="AC134" s="220">
        <v>0.0</v>
      </c>
      <c r="AD134" s="220">
        <v>89.79</v>
      </c>
      <c r="AE134" s="220">
        <f>IF('2025Sep1-2025Sep30CustomUnified'!$C134="order",'2025Sep1-2025Sep30CustomUnified'!$O134,0)</f>
        <v>124.99</v>
      </c>
      <c r="AF134" s="220">
        <f>IF('2025Sep1-2025Sep30CustomUnified'!$C134="refund",'2025Sep1-2025Sep30CustomUnified'!$O134,0)</f>
        <v>0</v>
      </c>
      <c r="AG134" s="220">
        <f>SUM('2025Sep1-2025Sep30CustomUnified'!$AE134:$AF134)</f>
        <v>124.99</v>
      </c>
      <c r="AH134" s="220">
        <f>IF('2025Sep1-2025Sep30CustomUnified'!$C134="order",'2025Sep1-2025Sep30CustomUnified'!$G134,0)</f>
        <v>1</v>
      </c>
      <c r="AI134" s="220">
        <f>IF('2025Sep1-2025Sep30CustomUnified'!$C134="refund",-'2025Sep1-2025Sep30CustomUnified'!$G134,0)</f>
        <v>0</v>
      </c>
      <c r="AJ134" s="220">
        <f>SUM('2025Sep1-2025Sep30CustomUnified'!$AH134:$AI134)</f>
        <v>1</v>
      </c>
      <c r="AK134" s="220">
        <f>'2025Sep1-2025Sep30CustomUnified'!$Z134</f>
        <v>-18.75</v>
      </c>
      <c r="AL134" s="220">
        <f>'2025Sep1-2025Sep30CustomUnified'!$AA134+'2025Sep1-2025Sep30CustomUnified'!$W134+'2025Sep1-2025Sep30CustomUnified'!$U134+'2025Sep1-2025Sep30CustomUnified'!$S134+'2025Sep1-2025Sep30CustomUnified'!$Q134</f>
        <v>-16.45</v>
      </c>
      <c r="AM134" s="220">
        <f>SUM('2025Sep1-2025Sep30CustomUnified'!$AB134:$AC134)</f>
        <v>0</v>
      </c>
      <c r="AN134" s="220">
        <f>SUM('2025Sep1-2025Sep30CustomUnified'!$AK134:$AM134)</f>
        <v>-35.2</v>
      </c>
      <c r="AO134" s="220">
        <f>'2025Sep1-2025Sep30CustomUnified'!$AG134+'2025Sep1-2025Sep30CustomUnified'!$AN134</f>
        <v>89.79</v>
      </c>
    </row>
    <row r="135" ht="15.75" hidden="1" customHeight="1">
      <c r="A135" s="220" t="s">
        <v>828</v>
      </c>
      <c r="B135" s="220">
        <v>2.4549234341E10</v>
      </c>
      <c r="C135" s="220" t="s">
        <v>443</v>
      </c>
      <c r="D135" s="220" t="s">
        <v>829</v>
      </c>
      <c r="E135" s="220" t="s">
        <v>227</v>
      </c>
      <c r="F135" s="220" t="s">
        <v>714</v>
      </c>
      <c r="G135" s="220">
        <v>1.0</v>
      </c>
      <c r="H135" s="220" t="s">
        <v>446</v>
      </c>
      <c r="I135" s="220" t="s">
        <v>447</v>
      </c>
      <c r="J135" s="220" t="s">
        <v>448</v>
      </c>
      <c r="K135" s="220" t="s">
        <v>830</v>
      </c>
      <c r="L135" s="220" t="s">
        <v>450</v>
      </c>
      <c r="M135" s="220">
        <v>98335.0</v>
      </c>
      <c r="N135" s="220" t="s">
        <v>451</v>
      </c>
      <c r="O135" s="220">
        <v>129.99</v>
      </c>
      <c r="P135" s="220">
        <v>11.83</v>
      </c>
      <c r="Q135" s="220">
        <v>0.0</v>
      </c>
      <c r="R135" s="220">
        <v>0.0</v>
      </c>
      <c r="S135" s="220">
        <v>0.0</v>
      </c>
      <c r="T135" s="220">
        <v>0.0</v>
      </c>
      <c r="U135" s="220">
        <v>0.0</v>
      </c>
      <c r="V135" s="220">
        <v>0.0</v>
      </c>
      <c r="W135" s="220">
        <v>0.0</v>
      </c>
      <c r="X135" s="220">
        <v>0.0</v>
      </c>
      <c r="Y135" s="220">
        <v>-11.83</v>
      </c>
      <c r="Z135" s="220">
        <v>-19.5</v>
      </c>
      <c r="AA135" s="220">
        <v>-24.43</v>
      </c>
      <c r="AB135" s="220">
        <v>0.0</v>
      </c>
      <c r="AC135" s="220">
        <v>0.0</v>
      </c>
      <c r="AD135" s="220">
        <v>86.06</v>
      </c>
      <c r="AE135" s="220">
        <f>IF('2025Sep1-2025Sep30CustomUnified'!$C135="order",'2025Sep1-2025Sep30CustomUnified'!$O135,0)</f>
        <v>129.99</v>
      </c>
      <c r="AF135" s="220">
        <f>IF('2025Sep1-2025Sep30CustomUnified'!$C135="refund",'2025Sep1-2025Sep30CustomUnified'!$O135,0)</f>
        <v>0</v>
      </c>
      <c r="AG135" s="220">
        <f>SUM('2025Sep1-2025Sep30CustomUnified'!$AE135:$AF135)</f>
        <v>129.99</v>
      </c>
      <c r="AH135" s="220">
        <f>IF('2025Sep1-2025Sep30CustomUnified'!$C135="order",'2025Sep1-2025Sep30CustomUnified'!$G135,0)</f>
        <v>1</v>
      </c>
      <c r="AI135" s="220">
        <f>IF('2025Sep1-2025Sep30CustomUnified'!$C135="refund",-'2025Sep1-2025Sep30CustomUnified'!$G135,0)</f>
        <v>0</v>
      </c>
      <c r="AJ135" s="220">
        <f>SUM('2025Sep1-2025Sep30CustomUnified'!$AH135:$AI135)</f>
        <v>1</v>
      </c>
      <c r="AK135" s="220">
        <f>'2025Sep1-2025Sep30CustomUnified'!$Z135</f>
        <v>-19.5</v>
      </c>
      <c r="AL135" s="220">
        <f>'2025Sep1-2025Sep30CustomUnified'!$AA135+'2025Sep1-2025Sep30CustomUnified'!$W135+'2025Sep1-2025Sep30CustomUnified'!$U135+'2025Sep1-2025Sep30CustomUnified'!$S135+'2025Sep1-2025Sep30CustomUnified'!$Q135</f>
        <v>-24.43</v>
      </c>
      <c r="AM135" s="220">
        <f>SUM('2025Sep1-2025Sep30CustomUnified'!$AB135:$AC135)</f>
        <v>0</v>
      </c>
      <c r="AN135" s="220">
        <f>SUM('2025Sep1-2025Sep30CustomUnified'!$AK135:$AM135)</f>
        <v>-43.93</v>
      </c>
      <c r="AO135" s="220">
        <f>'2025Sep1-2025Sep30CustomUnified'!$AG135+'2025Sep1-2025Sep30CustomUnified'!$AN135</f>
        <v>86.06</v>
      </c>
    </row>
    <row r="136" ht="15.75" hidden="1" customHeight="1">
      <c r="A136" s="220" t="s">
        <v>831</v>
      </c>
      <c r="B136" s="220">
        <v>2.4549234341E10</v>
      </c>
      <c r="C136" s="220" t="s">
        <v>443</v>
      </c>
      <c r="D136" s="220" t="s">
        <v>832</v>
      </c>
      <c r="E136" s="220" t="s">
        <v>227</v>
      </c>
      <c r="F136" s="220" t="s">
        <v>714</v>
      </c>
      <c r="G136" s="220">
        <v>1.0</v>
      </c>
      <c r="H136" s="220" t="s">
        <v>446</v>
      </c>
      <c r="I136" s="220" t="s">
        <v>447</v>
      </c>
      <c r="J136" s="220" t="s">
        <v>448</v>
      </c>
      <c r="K136" s="220" t="s">
        <v>833</v>
      </c>
      <c r="L136" s="220" t="s">
        <v>834</v>
      </c>
      <c r="M136" s="220">
        <v>84121.0</v>
      </c>
      <c r="N136" s="220" t="s">
        <v>451</v>
      </c>
      <c r="O136" s="220">
        <v>134.99</v>
      </c>
      <c r="P136" s="220">
        <v>9.05</v>
      </c>
      <c r="Q136" s="220">
        <v>0.0</v>
      </c>
      <c r="R136" s="220">
        <v>0.0</v>
      </c>
      <c r="S136" s="220">
        <v>0.0</v>
      </c>
      <c r="T136" s="220">
        <v>0.0</v>
      </c>
      <c r="U136" s="220">
        <v>0.0</v>
      </c>
      <c r="V136" s="220">
        <v>0.0</v>
      </c>
      <c r="W136" s="220">
        <v>-13.5</v>
      </c>
      <c r="X136" s="220">
        <v>0.0</v>
      </c>
      <c r="Y136" s="220">
        <v>-9.05</v>
      </c>
      <c r="Z136" s="220">
        <v>-18.22</v>
      </c>
      <c r="AA136" s="220">
        <v>-24.43</v>
      </c>
      <c r="AB136" s="220">
        <v>0.0</v>
      </c>
      <c r="AC136" s="220">
        <v>0.0</v>
      </c>
      <c r="AD136" s="220">
        <v>78.84</v>
      </c>
      <c r="AE136" s="220">
        <f>IF('2025Sep1-2025Sep30CustomUnified'!$C136="order",'2025Sep1-2025Sep30CustomUnified'!$O136,0)</f>
        <v>134.99</v>
      </c>
      <c r="AF136" s="220">
        <f>IF('2025Sep1-2025Sep30CustomUnified'!$C136="refund",'2025Sep1-2025Sep30CustomUnified'!$O136,0)</f>
        <v>0</v>
      </c>
      <c r="AG136" s="220">
        <f>SUM('2025Sep1-2025Sep30CustomUnified'!$AE136:$AF136)</f>
        <v>134.99</v>
      </c>
      <c r="AH136" s="220">
        <f>IF('2025Sep1-2025Sep30CustomUnified'!$C136="order",'2025Sep1-2025Sep30CustomUnified'!$G136,0)</f>
        <v>1</v>
      </c>
      <c r="AI136" s="220">
        <f>IF('2025Sep1-2025Sep30CustomUnified'!$C136="refund",-'2025Sep1-2025Sep30CustomUnified'!$G136,0)</f>
        <v>0</v>
      </c>
      <c r="AJ136" s="220">
        <f>SUM('2025Sep1-2025Sep30CustomUnified'!$AH136:$AI136)</f>
        <v>1</v>
      </c>
      <c r="AK136" s="220">
        <f>'2025Sep1-2025Sep30CustomUnified'!$Z136</f>
        <v>-18.22</v>
      </c>
      <c r="AL136" s="220">
        <f>'2025Sep1-2025Sep30CustomUnified'!$AA136+'2025Sep1-2025Sep30CustomUnified'!$W136+'2025Sep1-2025Sep30CustomUnified'!$U136+'2025Sep1-2025Sep30CustomUnified'!$S136+'2025Sep1-2025Sep30CustomUnified'!$Q136</f>
        <v>-37.93</v>
      </c>
      <c r="AM136" s="220">
        <f>SUM('2025Sep1-2025Sep30CustomUnified'!$AB136:$AC136)</f>
        <v>0</v>
      </c>
      <c r="AN136" s="220">
        <f>SUM('2025Sep1-2025Sep30CustomUnified'!$AK136:$AM136)</f>
        <v>-56.15</v>
      </c>
      <c r="AO136" s="220">
        <f>'2025Sep1-2025Sep30CustomUnified'!$AG136+'2025Sep1-2025Sep30CustomUnified'!$AN136</f>
        <v>78.84</v>
      </c>
    </row>
    <row r="137" ht="15.75" hidden="1" customHeight="1">
      <c r="A137" s="220" t="s">
        <v>835</v>
      </c>
      <c r="B137" s="220">
        <v>2.4549234341E10</v>
      </c>
      <c r="C137" s="220" t="s">
        <v>443</v>
      </c>
      <c r="D137" s="220" t="s">
        <v>836</v>
      </c>
      <c r="E137" s="220" t="s">
        <v>229</v>
      </c>
      <c r="F137" s="220" t="s">
        <v>501</v>
      </c>
      <c r="G137" s="220">
        <v>1.0</v>
      </c>
      <c r="H137" s="220" t="s">
        <v>446</v>
      </c>
      <c r="I137" s="220" t="s">
        <v>447</v>
      </c>
      <c r="J137" s="220" t="s">
        <v>448</v>
      </c>
      <c r="K137" s="220" t="s">
        <v>837</v>
      </c>
      <c r="L137" s="220" t="s">
        <v>460</v>
      </c>
      <c r="M137" s="220">
        <v>14226.0</v>
      </c>
      <c r="N137" s="220" t="s">
        <v>451</v>
      </c>
      <c r="O137" s="220">
        <v>89.99</v>
      </c>
      <c r="P137" s="220">
        <v>7.87</v>
      </c>
      <c r="Q137" s="220">
        <v>0.0</v>
      </c>
      <c r="R137" s="220">
        <v>0.0</v>
      </c>
      <c r="S137" s="220">
        <v>0.0</v>
      </c>
      <c r="T137" s="220">
        <v>0.0</v>
      </c>
      <c r="U137" s="220">
        <v>0.0</v>
      </c>
      <c r="V137" s="220">
        <v>0.0</v>
      </c>
      <c r="W137" s="220">
        <v>0.0</v>
      </c>
      <c r="X137" s="220">
        <v>0.0</v>
      </c>
      <c r="Y137" s="220">
        <v>-7.87</v>
      </c>
      <c r="Z137" s="220">
        <v>-13.5</v>
      </c>
      <c r="AA137" s="220">
        <v>0.0</v>
      </c>
      <c r="AB137" s="220">
        <v>0.0</v>
      </c>
      <c r="AC137" s="220">
        <v>0.0</v>
      </c>
      <c r="AD137" s="220">
        <v>76.49</v>
      </c>
      <c r="AE137" s="220">
        <f>IF('2025Sep1-2025Sep30CustomUnified'!$C137="order",'2025Sep1-2025Sep30CustomUnified'!$O137,0)</f>
        <v>89.99</v>
      </c>
      <c r="AF137" s="220">
        <f>IF('2025Sep1-2025Sep30CustomUnified'!$C137="refund",'2025Sep1-2025Sep30CustomUnified'!$O137,0)</f>
        <v>0</v>
      </c>
      <c r="AG137" s="220">
        <f>SUM('2025Sep1-2025Sep30CustomUnified'!$AE137:$AF137)</f>
        <v>89.99</v>
      </c>
      <c r="AH137" s="220">
        <f>IF('2025Sep1-2025Sep30CustomUnified'!$C137="order",'2025Sep1-2025Sep30CustomUnified'!$G137,0)</f>
        <v>1</v>
      </c>
      <c r="AI137" s="220">
        <f>IF('2025Sep1-2025Sep30CustomUnified'!$C137="refund",-'2025Sep1-2025Sep30CustomUnified'!$G137,0)</f>
        <v>0</v>
      </c>
      <c r="AJ137" s="220">
        <f>SUM('2025Sep1-2025Sep30CustomUnified'!$AH137:$AI137)</f>
        <v>1</v>
      </c>
      <c r="AK137" s="220">
        <f>'2025Sep1-2025Sep30CustomUnified'!$Z137</f>
        <v>-13.5</v>
      </c>
      <c r="AL137" s="220">
        <f>'2025Sep1-2025Sep30CustomUnified'!$AA137+'2025Sep1-2025Sep30CustomUnified'!$W137+'2025Sep1-2025Sep30CustomUnified'!$U137+'2025Sep1-2025Sep30CustomUnified'!$S137+'2025Sep1-2025Sep30CustomUnified'!$Q137</f>
        <v>0</v>
      </c>
      <c r="AM137" s="220">
        <f>SUM('2025Sep1-2025Sep30CustomUnified'!$AB137:$AC137)</f>
        <v>0</v>
      </c>
      <c r="AN137" s="220">
        <f>SUM('2025Sep1-2025Sep30CustomUnified'!$AK137:$AM137)</f>
        <v>-13.5</v>
      </c>
      <c r="AO137" s="220">
        <f>'2025Sep1-2025Sep30CustomUnified'!$AG137+'2025Sep1-2025Sep30CustomUnified'!$AN137</f>
        <v>76.49</v>
      </c>
    </row>
    <row r="138" ht="15.75" customHeight="1">
      <c r="A138" s="220" t="s">
        <v>838</v>
      </c>
      <c r="B138" s="220">
        <v>2.4549234341E10</v>
      </c>
      <c r="C138" s="220" t="s">
        <v>443</v>
      </c>
      <c r="D138" s="220" t="s">
        <v>839</v>
      </c>
      <c r="E138" s="220" t="s">
        <v>225</v>
      </c>
      <c r="F138" s="220" t="s">
        <v>468</v>
      </c>
      <c r="G138" s="220">
        <v>1.0</v>
      </c>
      <c r="H138" s="220" t="s">
        <v>446</v>
      </c>
      <c r="I138" s="220" t="s">
        <v>447</v>
      </c>
      <c r="J138" s="220" t="s">
        <v>448</v>
      </c>
      <c r="K138" s="220" t="s">
        <v>840</v>
      </c>
      <c r="L138" s="220" t="s">
        <v>841</v>
      </c>
      <c r="M138" s="220">
        <v>50320.0</v>
      </c>
      <c r="N138" s="220" t="s">
        <v>451</v>
      </c>
      <c r="O138" s="220">
        <v>139.99</v>
      </c>
      <c r="P138" s="220">
        <v>9.8</v>
      </c>
      <c r="Q138" s="220">
        <v>0.0</v>
      </c>
      <c r="R138" s="220">
        <v>0.0</v>
      </c>
      <c r="S138" s="220">
        <v>0.0</v>
      </c>
      <c r="T138" s="220">
        <v>0.0</v>
      </c>
      <c r="U138" s="220">
        <v>0.0</v>
      </c>
      <c r="V138" s="220">
        <v>0.0</v>
      </c>
      <c r="W138" s="220">
        <v>0.0</v>
      </c>
      <c r="X138" s="220">
        <v>0.0</v>
      </c>
      <c r="Y138" s="220">
        <v>-9.8</v>
      </c>
      <c r="Z138" s="220">
        <v>-21.0</v>
      </c>
      <c r="AA138" s="220">
        <v>-25.95</v>
      </c>
      <c r="AB138" s="220">
        <v>0.0</v>
      </c>
      <c r="AC138" s="220">
        <v>0.0</v>
      </c>
      <c r="AD138" s="220">
        <v>93.04</v>
      </c>
      <c r="AE138" s="220">
        <f>IF('2025Sep1-2025Sep30CustomUnified'!$C138="order",'2025Sep1-2025Sep30CustomUnified'!$O138,0)</f>
        <v>139.99</v>
      </c>
      <c r="AF138" s="220">
        <f>IF('2025Sep1-2025Sep30CustomUnified'!$C138="refund",'2025Sep1-2025Sep30CustomUnified'!$O138,0)</f>
        <v>0</v>
      </c>
      <c r="AG138" s="220">
        <f>SUM('2025Sep1-2025Sep30CustomUnified'!$AE138:$AF138)</f>
        <v>139.99</v>
      </c>
      <c r="AH138" s="220">
        <f>IF('2025Sep1-2025Sep30CustomUnified'!$C138="order",'2025Sep1-2025Sep30CustomUnified'!$G138,0)</f>
        <v>1</v>
      </c>
      <c r="AI138" s="220">
        <f>IF('2025Sep1-2025Sep30CustomUnified'!$C138="refund",-'2025Sep1-2025Sep30CustomUnified'!$G138,0)</f>
        <v>0</v>
      </c>
      <c r="AJ138" s="220">
        <f>SUM('2025Sep1-2025Sep30CustomUnified'!$AH138:$AI138)</f>
        <v>1</v>
      </c>
      <c r="AK138" s="220">
        <f>'2025Sep1-2025Sep30CustomUnified'!$Z138</f>
        <v>-21</v>
      </c>
      <c r="AL138" s="220">
        <f>'2025Sep1-2025Sep30CustomUnified'!$AA138+'2025Sep1-2025Sep30CustomUnified'!$W138+'2025Sep1-2025Sep30CustomUnified'!$U138+'2025Sep1-2025Sep30CustomUnified'!$S138+'2025Sep1-2025Sep30CustomUnified'!$Q138</f>
        <v>-25.95</v>
      </c>
      <c r="AM138" s="220">
        <f>SUM('2025Sep1-2025Sep30CustomUnified'!$AB138:$AC138)</f>
        <v>0</v>
      </c>
      <c r="AN138" s="220">
        <f>SUM('2025Sep1-2025Sep30CustomUnified'!$AK138:$AM138)</f>
        <v>-46.95</v>
      </c>
      <c r="AO138" s="220">
        <f>'2025Sep1-2025Sep30CustomUnified'!$AG138+'2025Sep1-2025Sep30CustomUnified'!$AN138</f>
        <v>93.04</v>
      </c>
    </row>
    <row r="139" ht="15.75" customHeight="1">
      <c r="A139" s="220" t="s">
        <v>842</v>
      </c>
      <c r="B139" s="220">
        <v>2.4549234341E10</v>
      </c>
      <c r="C139" s="220" t="s">
        <v>443</v>
      </c>
      <c r="D139" s="220" t="s">
        <v>843</v>
      </c>
      <c r="E139" s="220" t="s">
        <v>225</v>
      </c>
      <c r="F139" s="220" t="s">
        <v>468</v>
      </c>
      <c r="G139" s="220">
        <v>1.0</v>
      </c>
      <c r="H139" s="220" t="s">
        <v>446</v>
      </c>
      <c r="I139" s="220" t="s">
        <v>447</v>
      </c>
      <c r="J139" s="220" t="s">
        <v>448</v>
      </c>
      <c r="K139" s="220" t="s">
        <v>844</v>
      </c>
      <c r="L139" s="220" t="s">
        <v>503</v>
      </c>
      <c r="M139" s="220">
        <v>60140.0</v>
      </c>
      <c r="N139" s="220" t="s">
        <v>451</v>
      </c>
      <c r="O139" s="220">
        <v>157.99</v>
      </c>
      <c r="P139" s="220">
        <v>12.64</v>
      </c>
      <c r="Q139" s="220">
        <v>0.0</v>
      </c>
      <c r="R139" s="220">
        <v>0.0</v>
      </c>
      <c r="S139" s="220">
        <v>0.0</v>
      </c>
      <c r="T139" s="220">
        <v>0.0</v>
      </c>
      <c r="U139" s="220">
        <v>0.0</v>
      </c>
      <c r="V139" s="220">
        <v>0.0</v>
      </c>
      <c r="W139" s="220">
        <v>0.0</v>
      </c>
      <c r="X139" s="220">
        <v>0.0</v>
      </c>
      <c r="Y139" s="220">
        <v>-12.64</v>
      </c>
      <c r="Z139" s="220">
        <v>-23.7</v>
      </c>
      <c r="AA139" s="220">
        <v>-25.95</v>
      </c>
      <c r="AB139" s="220">
        <v>0.0</v>
      </c>
      <c r="AC139" s="220">
        <v>0.0</v>
      </c>
      <c r="AD139" s="220">
        <v>108.34</v>
      </c>
      <c r="AE139" s="220">
        <f>IF('2025Sep1-2025Sep30CustomUnified'!$C139="order",'2025Sep1-2025Sep30CustomUnified'!$O139,0)</f>
        <v>157.99</v>
      </c>
      <c r="AF139" s="220">
        <f>IF('2025Sep1-2025Sep30CustomUnified'!$C139="refund",'2025Sep1-2025Sep30CustomUnified'!$O139,0)</f>
        <v>0</v>
      </c>
      <c r="AG139" s="220">
        <f>SUM('2025Sep1-2025Sep30CustomUnified'!$AE139:$AF139)</f>
        <v>157.99</v>
      </c>
      <c r="AH139" s="220">
        <f>IF('2025Sep1-2025Sep30CustomUnified'!$C139="order",'2025Sep1-2025Sep30CustomUnified'!$G139,0)</f>
        <v>1</v>
      </c>
      <c r="AI139" s="220">
        <f>IF('2025Sep1-2025Sep30CustomUnified'!$C139="refund",-'2025Sep1-2025Sep30CustomUnified'!$G139,0)</f>
        <v>0</v>
      </c>
      <c r="AJ139" s="220">
        <f>SUM('2025Sep1-2025Sep30CustomUnified'!$AH139:$AI139)</f>
        <v>1</v>
      </c>
      <c r="AK139" s="220">
        <f>'2025Sep1-2025Sep30CustomUnified'!$Z139</f>
        <v>-23.7</v>
      </c>
      <c r="AL139" s="220">
        <f>'2025Sep1-2025Sep30CustomUnified'!$AA139+'2025Sep1-2025Sep30CustomUnified'!$W139+'2025Sep1-2025Sep30CustomUnified'!$U139+'2025Sep1-2025Sep30CustomUnified'!$S139+'2025Sep1-2025Sep30CustomUnified'!$Q139</f>
        <v>-25.95</v>
      </c>
      <c r="AM139" s="220">
        <f>SUM('2025Sep1-2025Sep30CustomUnified'!$AB139:$AC139)</f>
        <v>0</v>
      </c>
      <c r="AN139" s="220">
        <f>SUM('2025Sep1-2025Sep30CustomUnified'!$AK139:$AM139)</f>
        <v>-49.65</v>
      </c>
      <c r="AO139" s="220">
        <f>'2025Sep1-2025Sep30CustomUnified'!$AG139+'2025Sep1-2025Sep30CustomUnified'!$AN139</f>
        <v>108.34</v>
      </c>
    </row>
    <row r="140" ht="15.75" customHeight="1">
      <c r="A140" s="220" t="s">
        <v>845</v>
      </c>
      <c r="B140" s="220">
        <v>2.4549234341E10</v>
      </c>
      <c r="C140" s="220" t="s">
        <v>443</v>
      </c>
      <c r="D140" s="220" t="s">
        <v>846</v>
      </c>
      <c r="E140" s="220" t="s">
        <v>225</v>
      </c>
      <c r="F140" s="220" t="s">
        <v>468</v>
      </c>
      <c r="G140" s="220">
        <v>1.0</v>
      </c>
      <c r="H140" s="220" t="s">
        <v>446</v>
      </c>
      <c r="I140" s="220" t="s">
        <v>447</v>
      </c>
      <c r="J140" s="220" t="s">
        <v>448</v>
      </c>
      <c r="K140" s="220" t="s">
        <v>847</v>
      </c>
      <c r="L140" s="220" t="s">
        <v>460</v>
      </c>
      <c r="M140" s="220">
        <v>11530.0</v>
      </c>
      <c r="N140" s="220" t="s">
        <v>451</v>
      </c>
      <c r="O140" s="220">
        <v>139.99</v>
      </c>
      <c r="P140" s="220">
        <v>12.07</v>
      </c>
      <c r="Q140" s="220">
        <v>0.0</v>
      </c>
      <c r="R140" s="220">
        <v>0.0</v>
      </c>
      <c r="S140" s="220">
        <v>0.0</v>
      </c>
      <c r="T140" s="220">
        <v>0.0</v>
      </c>
      <c r="U140" s="220">
        <v>0.0</v>
      </c>
      <c r="V140" s="220">
        <v>0.0</v>
      </c>
      <c r="W140" s="220">
        <v>0.0</v>
      </c>
      <c r="X140" s="220">
        <v>0.0</v>
      </c>
      <c r="Y140" s="220">
        <v>-12.07</v>
      </c>
      <c r="Z140" s="220">
        <v>-21.0</v>
      </c>
      <c r="AA140" s="220">
        <v>-25.95</v>
      </c>
      <c r="AB140" s="220">
        <v>0.0</v>
      </c>
      <c r="AC140" s="220">
        <v>0.0</v>
      </c>
      <c r="AD140" s="220">
        <v>93.04</v>
      </c>
      <c r="AE140" s="220">
        <f>IF('2025Sep1-2025Sep30CustomUnified'!$C140="order",'2025Sep1-2025Sep30CustomUnified'!$O140,0)</f>
        <v>139.99</v>
      </c>
      <c r="AF140" s="220">
        <f>IF('2025Sep1-2025Sep30CustomUnified'!$C140="refund",'2025Sep1-2025Sep30CustomUnified'!$O140,0)</f>
        <v>0</v>
      </c>
      <c r="AG140" s="220">
        <f>SUM('2025Sep1-2025Sep30CustomUnified'!$AE140:$AF140)</f>
        <v>139.99</v>
      </c>
      <c r="AH140" s="220">
        <f>IF('2025Sep1-2025Sep30CustomUnified'!$C140="order",'2025Sep1-2025Sep30CustomUnified'!$G140,0)</f>
        <v>1</v>
      </c>
      <c r="AI140" s="220">
        <f>IF('2025Sep1-2025Sep30CustomUnified'!$C140="refund",-'2025Sep1-2025Sep30CustomUnified'!$G140,0)</f>
        <v>0</v>
      </c>
      <c r="AJ140" s="220">
        <f>SUM('2025Sep1-2025Sep30CustomUnified'!$AH140:$AI140)</f>
        <v>1</v>
      </c>
      <c r="AK140" s="220">
        <f>'2025Sep1-2025Sep30CustomUnified'!$Z140</f>
        <v>-21</v>
      </c>
      <c r="AL140" s="220">
        <f>'2025Sep1-2025Sep30CustomUnified'!$AA140+'2025Sep1-2025Sep30CustomUnified'!$W140+'2025Sep1-2025Sep30CustomUnified'!$U140+'2025Sep1-2025Sep30CustomUnified'!$S140+'2025Sep1-2025Sep30CustomUnified'!$Q140</f>
        <v>-25.95</v>
      </c>
      <c r="AM140" s="220">
        <f>SUM('2025Sep1-2025Sep30CustomUnified'!$AB140:$AC140)</f>
        <v>0</v>
      </c>
      <c r="AN140" s="220">
        <f>SUM('2025Sep1-2025Sep30CustomUnified'!$AK140:$AM140)</f>
        <v>-46.95</v>
      </c>
      <c r="AO140" s="220">
        <f>'2025Sep1-2025Sep30CustomUnified'!$AG140+'2025Sep1-2025Sep30CustomUnified'!$AN140</f>
        <v>93.04</v>
      </c>
    </row>
    <row r="141" ht="15.75" hidden="1" customHeight="1">
      <c r="A141" s="220" t="s">
        <v>848</v>
      </c>
      <c r="B141" s="220">
        <v>2.4549234341E10</v>
      </c>
      <c r="C141" s="220" t="s">
        <v>443</v>
      </c>
      <c r="D141" s="220" t="s">
        <v>849</v>
      </c>
      <c r="E141" s="220" t="s">
        <v>229</v>
      </c>
      <c r="F141" s="220" t="s">
        <v>501</v>
      </c>
      <c r="G141" s="220">
        <v>1.0</v>
      </c>
      <c r="H141" s="220" t="s">
        <v>446</v>
      </c>
      <c r="I141" s="220" t="s">
        <v>447</v>
      </c>
      <c r="J141" s="220" t="s">
        <v>448</v>
      </c>
      <c r="K141" s="220" t="s">
        <v>850</v>
      </c>
      <c r="L141" s="220" t="s">
        <v>455</v>
      </c>
      <c r="M141" s="220">
        <v>94559.0</v>
      </c>
      <c r="N141" s="220" t="s">
        <v>451</v>
      </c>
      <c r="O141" s="220">
        <v>89.99</v>
      </c>
      <c r="P141" s="220">
        <v>7.87</v>
      </c>
      <c r="Q141" s="220">
        <v>0.0</v>
      </c>
      <c r="R141" s="220">
        <v>0.0</v>
      </c>
      <c r="S141" s="220">
        <v>0.0</v>
      </c>
      <c r="T141" s="220">
        <v>0.0</v>
      </c>
      <c r="U141" s="220">
        <v>0.0</v>
      </c>
      <c r="V141" s="220">
        <v>0.0</v>
      </c>
      <c r="W141" s="220">
        <v>0.0</v>
      </c>
      <c r="X141" s="220">
        <v>0.0</v>
      </c>
      <c r="Y141" s="220">
        <v>-7.87</v>
      </c>
      <c r="Z141" s="220">
        <v>-13.5</v>
      </c>
      <c r="AA141" s="220">
        <v>0.0</v>
      </c>
      <c r="AB141" s="220">
        <v>0.0</v>
      </c>
      <c r="AC141" s="220">
        <v>0.0</v>
      </c>
      <c r="AD141" s="220">
        <v>76.49</v>
      </c>
      <c r="AE141" s="220">
        <f>IF('2025Sep1-2025Sep30CustomUnified'!$C141="order",'2025Sep1-2025Sep30CustomUnified'!$O141,0)</f>
        <v>89.99</v>
      </c>
      <c r="AF141" s="220">
        <f>IF('2025Sep1-2025Sep30CustomUnified'!$C141="refund",'2025Sep1-2025Sep30CustomUnified'!$O141,0)</f>
        <v>0</v>
      </c>
      <c r="AG141" s="220">
        <f>SUM('2025Sep1-2025Sep30CustomUnified'!$AE141:$AF141)</f>
        <v>89.99</v>
      </c>
      <c r="AH141" s="220">
        <f>IF('2025Sep1-2025Sep30CustomUnified'!$C141="order",'2025Sep1-2025Sep30CustomUnified'!$G141,0)</f>
        <v>1</v>
      </c>
      <c r="AI141" s="220">
        <f>IF('2025Sep1-2025Sep30CustomUnified'!$C141="refund",-'2025Sep1-2025Sep30CustomUnified'!$G141,0)</f>
        <v>0</v>
      </c>
      <c r="AJ141" s="220">
        <f>SUM('2025Sep1-2025Sep30CustomUnified'!$AH141:$AI141)</f>
        <v>1</v>
      </c>
      <c r="AK141" s="220">
        <f>'2025Sep1-2025Sep30CustomUnified'!$Z141</f>
        <v>-13.5</v>
      </c>
      <c r="AL141" s="220">
        <f>'2025Sep1-2025Sep30CustomUnified'!$AA141+'2025Sep1-2025Sep30CustomUnified'!$W141+'2025Sep1-2025Sep30CustomUnified'!$U141+'2025Sep1-2025Sep30CustomUnified'!$S141+'2025Sep1-2025Sep30CustomUnified'!$Q141</f>
        <v>0</v>
      </c>
      <c r="AM141" s="220">
        <f>SUM('2025Sep1-2025Sep30CustomUnified'!$AB141:$AC141)</f>
        <v>0</v>
      </c>
      <c r="AN141" s="220">
        <f>SUM('2025Sep1-2025Sep30CustomUnified'!$AK141:$AM141)</f>
        <v>-13.5</v>
      </c>
      <c r="AO141" s="220">
        <f>'2025Sep1-2025Sep30CustomUnified'!$AG141+'2025Sep1-2025Sep30CustomUnified'!$AN141</f>
        <v>76.49</v>
      </c>
    </row>
    <row r="142" ht="15.75" hidden="1" customHeight="1">
      <c r="A142" s="220" t="s">
        <v>851</v>
      </c>
      <c r="B142" s="220">
        <v>2.4549234341E10</v>
      </c>
      <c r="C142" s="220" t="s">
        <v>443</v>
      </c>
      <c r="D142" s="220" t="s">
        <v>852</v>
      </c>
      <c r="E142" s="220" t="s">
        <v>229</v>
      </c>
      <c r="F142" s="220" t="s">
        <v>501</v>
      </c>
      <c r="G142" s="220">
        <v>1.0</v>
      </c>
      <c r="H142" s="220" t="s">
        <v>446</v>
      </c>
      <c r="I142" s="220" t="s">
        <v>447</v>
      </c>
      <c r="J142" s="220" t="s">
        <v>448</v>
      </c>
      <c r="K142" s="220" t="s">
        <v>853</v>
      </c>
      <c r="L142" s="220" t="s">
        <v>854</v>
      </c>
      <c r="M142" s="220">
        <v>48167.0</v>
      </c>
      <c r="N142" s="220" t="s">
        <v>451</v>
      </c>
      <c r="O142" s="220">
        <v>89.99</v>
      </c>
      <c r="P142" s="220">
        <v>5.4</v>
      </c>
      <c r="Q142" s="220">
        <v>0.0</v>
      </c>
      <c r="R142" s="220">
        <v>0.0</v>
      </c>
      <c r="S142" s="220">
        <v>0.0</v>
      </c>
      <c r="T142" s="220">
        <v>0.0</v>
      </c>
      <c r="U142" s="220">
        <v>0.0</v>
      </c>
      <c r="V142" s="220">
        <v>0.0</v>
      </c>
      <c r="W142" s="220">
        <v>0.0</v>
      </c>
      <c r="X142" s="220">
        <v>0.0</v>
      </c>
      <c r="Y142" s="220">
        <v>-5.4</v>
      </c>
      <c r="Z142" s="220">
        <v>-13.5</v>
      </c>
      <c r="AA142" s="220">
        <v>0.0</v>
      </c>
      <c r="AB142" s="220">
        <v>0.0</v>
      </c>
      <c r="AC142" s="220">
        <v>0.0</v>
      </c>
      <c r="AD142" s="220">
        <v>76.49</v>
      </c>
      <c r="AE142" s="220">
        <f>IF('2025Sep1-2025Sep30CustomUnified'!$C142="order",'2025Sep1-2025Sep30CustomUnified'!$O142,0)</f>
        <v>89.99</v>
      </c>
      <c r="AF142" s="220">
        <f>IF('2025Sep1-2025Sep30CustomUnified'!$C142="refund",'2025Sep1-2025Sep30CustomUnified'!$O142,0)</f>
        <v>0</v>
      </c>
      <c r="AG142" s="220">
        <f>SUM('2025Sep1-2025Sep30CustomUnified'!$AE142:$AF142)</f>
        <v>89.99</v>
      </c>
      <c r="AH142" s="220">
        <f>IF('2025Sep1-2025Sep30CustomUnified'!$C142="order",'2025Sep1-2025Sep30CustomUnified'!$G142,0)</f>
        <v>1</v>
      </c>
      <c r="AI142" s="220">
        <f>IF('2025Sep1-2025Sep30CustomUnified'!$C142="refund",-'2025Sep1-2025Sep30CustomUnified'!$G142,0)</f>
        <v>0</v>
      </c>
      <c r="AJ142" s="220">
        <f>SUM('2025Sep1-2025Sep30CustomUnified'!$AH142:$AI142)</f>
        <v>1</v>
      </c>
      <c r="AK142" s="220">
        <f>'2025Sep1-2025Sep30CustomUnified'!$Z142</f>
        <v>-13.5</v>
      </c>
      <c r="AL142" s="220">
        <f>'2025Sep1-2025Sep30CustomUnified'!$AA142+'2025Sep1-2025Sep30CustomUnified'!$W142+'2025Sep1-2025Sep30CustomUnified'!$U142+'2025Sep1-2025Sep30CustomUnified'!$S142+'2025Sep1-2025Sep30CustomUnified'!$Q142</f>
        <v>0</v>
      </c>
      <c r="AM142" s="220">
        <f>SUM('2025Sep1-2025Sep30CustomUnified'!$AB142:$AC142)</f>
        <v>0</v>
      </c>
      <c r="AN142" s="220">
        <f>SUM('2025Sep1-2025Sep30CustomUnified'!$AK142:$AM142)</f>
        <v>-13.5</v>
      </c>
      <c r="AO142" s="220">
        <f>'2025Sep1-2025Sep30CustomUnified'!$AG142+'2025Sep1-2025Sep30CustomUnified'!$AN142</f>
        <v>76.49</v>
      </c>
    </row>
    <row r="143" ht="15.75" hidden="1" customHeight="1">
      <c r="A143" s="220" t="s">
        <v>855</v>
      </c>
      <c r="B143" s="220">
        <v>2.4549234341E10</v>
      </c>
      <c r="C143" s="220" t="s">
        <v>443</v>
      </c>
      <c r="D143" s="220" t="s">
        <v>856</v>
      </c>
      <c r="E143" s="220" t="s">
        <v>395</v>
      </c>
      <c r="F143" s="220" t="s">
        <v>763</v>
      </c>
      <c r="G143" s="220">
        <v>1.0</v>
      </c>
      <c r="H143" s="220" t="s">
        <v>446</v>
      </c>
      <c r="I143" s="220" t="s">
        <v>447</v>
      </c>
      <c r="J143" s="220" t="s">
        <v>448</v>
      </c>
      <c r="K143" s="220" t="s">
        <v>641</v>
      </c>
      <c r="L143" s="220" t="s">
        <v>642</v>
      </c>
      <c r="M143" s="220">
        <v>96815.0</v>
      </c>
      <c r="N143" s="220" t="s">
        <v>451</v>
      </c>
      <c r="O143" s="220">
        <v>259.99</v>
      </c>
      <c r="P143" s="220">
        <v>12.25</v>
      </c>
      <c r="Q143" s="220">
        <v>0.0</v>
      </c>
      <c r="R143" s="220">
        <v>0.0</v>
      </c>
      <c r="S143" s="220">
        <v>0.0</v>
      </c>
      <c r="T143" s="220">
        <v>0.0</v>
      </c>
      <c r="U143" s="220">
        <v>0.0</v>
      </c>
      <c r="V143" s="220">
        <v>0.0</v>
      </c>
      <c r="W143" s="220">
        <v>0.0</v>
      </c>
      <c r="X143" s="220">
        <v>0.0</v>
      </c>
      <c r="Y143" s="220">
        <v>-12.25</v>
      </c>
      <c r="Z143" s="220">
        <v>-36.0</v>
      </c>
      <c r="AA143" s="220">
        <v>-42.37</v>
      </c>
      <c r="AB143" s="220">
        <v>0.0</v>
      </c>
      <c r="AC143" s="220">
        <v>0.0</v>
      </c>
      <c r="AD143" s="220">
        <v>181.62</v>
      </c>
      <c r="AE143" s="220">
        <f>IF('2025Sep1-2025Sep30CustomUnified'!$C143="order",'2025Sep1-2025Sep30CustomUnified'!$O143,0)</f>
        <v>259.99</v>
      </c>
      <c r="AF143" s="220">
        <f>IF('2025Sep1-2025Sep30CustomUnified'!$C143="refund",'2025Sep1-2025Sep30CustomUnified'!$O143,0)</f>
        <v>0</v>
      </c>
      <c r="AG143" s="220">
        <f>SUM('2025Sep1-2025Sep30CustomUnified'!$AE143:$AF143)</f>
        <v>259.99</v>
      </c>
      <c r="AH143" s="220">
        <f>IF('2025Sep1-2025Sep30CustomUnified'!$C143="order",'2025Sep1-2025Sep30CustomUnified'!$G143,0)</f>
        <v>1</v>
      </c>
      <c r="AI143" s="220">
        <f>IF('2025Sep1-2025Sep30CustomUnified'!$C143="refund",-'2025Sep1-2025Sep30CustomUnified'!$G143,0)</f>
        <v>0</v>
      </c>
      <c r="AJ143" s="220">
        <f>SUM('2025Sep1-2025Sep30CustomUnified'!$AH143:$AI143)</f>
        <v>1</v>
      </c>
      <c r="AK143" s="220">
        <f>'2025Sep1-2025Sep30CustomUnified'!$Z143</f>
        <v>-36</v>
      </c>
      <c r="AL143" s="220">
        <f>'2025Sep1-2025Sep30CustomUnified'!$AA143+'2025Sep1-2025Sep30CustomUnified'!$W143+'2025Sep1-2025Sep30CustomUnified'!$U143+'2025Sep1-2025Sep30CustomUnified'!$S143+'2025Sep1-2025Sep30CustomUnified'!$Q143</f>
        <v>-42.37</v>
      </c>
      <c r="AM143" s="220">
        <f>SUM('2025Sep1-2025Sep30CustomUnified'!$AB143:$AC143)</f>
        <v>0</v>
      </c>
      <c r="AN143" s="220">
        <f>SUM('2025Sep1-2025Sep30CustomUnified'!$AK143:$AM143)</f>
        <v>-78.37</v>
      </c>
      <c r="AO143" s="220">
        <f>'2025Sep1-2025Sep30CustomUnified'!$AG143+'2025Sep1-2025Sep30CustomUnified'!$AN143</f>
        <v>181.62</v>
      </c>
    </row>
    <row r="144" ht="15.75" customHeight="1">
      <c r="A144" s="220" t="s">
        <v>857</v>
      </c>
      <c r="B144" s="220">
        <v>2.4549234341E10</v>
      </c>
      <c r="C144" s="220" t="s">
        <v>443</v>
      </c>
      <c r="D144" s="220" t="s">
        <v>858</v>
      </c>
      <c r="E144" s="220" t="s">
        <v>225</v>
      </c>
      <c r="F144" s="220" t="s">
        <v>468</v>
      </c>
      <c r="G144" s="220">
        <v>1.0</v>
      </c>
      <c r="H144" s="220" t="s">
        <v>446</v>
      </c>
      <c r="I144" s="220" t="s">
        <v>447</v>
      </c>
      <c r="J144" s="220" t="s">
        <v>448</v>
      </c>
      <c r="K144" s="220" t="s">
        <v>859</v>
      </c>
      <c r="L144" s="220" t="s">
        <v>860</v>
      </c>
      <c r="M144" s="220">
        <v>89129.0</v>
      </c>
      <c r="N144" s="220" t="s">
        <v>451</v>
      </c>
      <c r="O144" s="220">
        <v>139.99</v>
      </c>
      <c r="P144" s="220">
        <v>0.0</v>
      </c>
      <c r="Q144" s="220">
        <v>0.0</v>
      </c>
      <c r="R144" s="220">
        <v>0.0</v>
      </c>
      <c r="S144" s="220">
        <v>0.0</v>
      </c>
      <c r="T144" s="220">
        <v>0.0</v>
      </c>
      <c r="U144" s="220">
        <v>0.0</v>
      </c>
      <c r="V144" s="220">
        <v>0.0</v>
      </c>
      <c r="W144" s="220">
        <v>-139.99</v>
      </c>
      <c r="X144" s="220">
        <v>0.0</v>
      </c>
      <c r="Y144" s="220">
        <v>0.0</v>
      </c>
      <c r="Z144" s="220">
        <v>-0.3</v>
      </c>
      <c r="AA144" s="220">
        <v>-25.95</v>
      </c>
      <c r="AB144" s="220">
        <v>0.0</v>
      </c>
      <c r="AC144" s="220">
        <v>0.0</v>
      </c>
      <c r="AD144" s="220">
        <v>-26.25</v>
      </c>
      <c r="AE144" s="220">
        <f>IF('2025Sep1-2025Sep30CustomUnified'!$C144="order",'2025Sep1-2025Sep30CustomUnified'!$O144,0)</f>
        <v>139.99</v>
      </c>
      <c r="AF144" s="220">
        <f>IF('2025Sep1-2025Sep30CustomUnified'!$C144="refund",'2025Sep1-2025Sep30CustomUnified'!$O144,0)</f>
        <v>0</v>
      </c>
      <c r="AG144" s="220">
        <f>SUM('2025Sep1-2025Sep30CustomUnified'!$AE144:$AF144)</f>
        <v>139.99</v>
      </c>
      <c r="AH144" s="220">
        <f>IF('2025Sep1-2025Sep30CustomUnified'!$C144="order",'2025Sep1-2025Sep30CustomUnified'!$G144,0)</f>
        <v>1</v>
      </c>
      <c r="AI144" s="220">
        <f>IF('2025Sep1-2025Sep30CustomUnified'!$C144="refund",-'2025Sep1-2025Sep30CustomUnified'!$G144,0)</f>
        <v>0</v>
      </c>
      <c r="AJ144" s="220">
        <f>SUM('2025Sep1-2025Sep30CustomUnified'!$AH144:$AI144)</f>
        <v>1</v>
      </c>
      <c r="AK144" s="220">
        <f>'2025Sep1-2025Sep30CustomUnified'!$Z144</f>
        <v>-0.3</v>
      </c>
      <c r="AL144" s="220">
        <f>'2025Sep1-2025Sep30CustomUnified'!$AA144+'2025Sep1-2025Sep30CustomUnified'!$W144+'2025Sep1-2025Sep30CustomUnified'!$U144+'2025Sep1-2025Sep30CustomUnified'!$S144+'2025Sep1-2025Sep30CustomUnified'!$Q144</f>
        <v>-165.94</v>
      </c>
      <c r="AM144" s="220">
        <f>SUM('2025Sep1-2025Sep30CustomUnified'!$AB144:$AC144)</f>
        <v>0</v>
      </c>
      <c r="AN144" s="220">
        <f>SUM('2025Sep1-2025Sep30CustomUnified'!$AK144:$AM144)</f>
        <v>-166.24</v>
      </c>
      <c r="AO144" s="220">
        <f>'2025Sep1-2025Sep30CustomUnified'!$AG144+'2025Sep1-2025Sep30CustomUnified'!$AN144</f>
        <v>-26.25</v>
      </c>
    </row>
    <row r="145" ht="15.75" hidden="1" customHeight="1">
      <c r="A145" s="220" t="s">
        <v>861</v>
      </c>
      <c r="B145" s="220">
        <v>2.4549234341E10</v>
      </c>
      <c r="C145" s="220" t="s">
        <v>466</v>
      </c>
      <c r="D145" s="220" t="s">
        <v>862</v>
      </c>
      <c r="E145" s="220" t="s">
        <v>389</v>
      </c>
      <c r="F145" s="220" t="s">
        <v>492</v>
      </c>
      <c r="G145" s="220">
        <v>1.0</v>
      </c>
      <c r="H145" s="220" t="s">
        <v>446</v>
      </c>
      <c r="I145" s="220" t="s">
        <v>447</v>
      </c>
      <c r="J145" s="220" t="s">
        <v>448</v>
      </c>
      <c r="K145" s="220" t="s">
        <v>863</v>
      </c>
      <c r="L145" s="220" t="s">
        <v>864</v>
      </c>
      <c r="M145" s="220">
        <v>22180.0</v>
      </c>
      <c r="N145" s="220" t="s">
        <v>451</v>
      </c>
      <c r="O145" s="220">
        <v>-679.99</v>
      </c>
      <c r="P145" s="220">
        <v>-36.72</v>
      </c>
      <c r="Q145" s="220">
        <v>0.0</v>
      </c>
      <c r="R145" s="220">
        <v>0.0</v>
      </c>
      <c r="S145" s="220">
        <v>0.0</v>
      </c>
      <c r="T145" s="220">
        <v>0.0</v>
      </c>
      <c r="U145" s="220">
        <v>0.0</v>
      </c>
      <c r="V145" s="220">
        <v>0.0</v>
      </c>
      <c r="W145" s="220">
        <v>68.0</v>
      </c>
      <c r="X145" s="220">
        <v>0.0</v>
      </c>
      <c r="Y145" s="220">
        <v>36.72</v>
      </c>
      <c r="Z145" s="220">
        <v>66.2</v>
      </c>
      <c r="AA145" s="220">
        <v>0.0</v>
      </c>
      <c r="AB145" s="220">
        <v>0.0</v>
      </c>
      <c r="AC145" s="220">
        <v>0.0</v>
      </c>
      <c r="AD145" s="220">
        <v>-545.79</v>
      </c>
      <c r="AE145" s="220">
        <f>IF('2025Sep1-2025Sep30CustomUnified'!$C145="order",'2025Sep1-2025Sep30CustomUnified'!$O145,0)</f>
        <v>0</v>
      </c>
      <c r="AF145" s="220">
        <f>IF('2025Sep1-2025Sep30CustomUnified'!$C145="refund",'2025Sep1-2025Sep30CustomUnified'!$O145,0)</f>
        <v>-679.99</v>
      </c>
      <c r="AG145" s="220">
        <f>SUM('2025Sep1-2025Sep30CustomUnified'!$AE145:$AF145)</f>
        <v>-679.99</v>
      </c>
      <c r="AH145" s="220">
        <f>IF('2025Sep1-2025Sep30CustomUnified'!$C145="order",'2025Sep1-2025Sep30CustomUnified'!$G145,0)</f>
        <v>0</v>
      </c>
      <c r="AI145" s="220">
        <f>IF('2025Sep1-2025Sep30CustomUnified'!$C145="refund",-'2025Sep1-2025Sep30CustomUnified'!$G145,0)</f>
        <v>-1</v>
      </c>
      <c r="AJ145" s="220">
        <f>SUM('2025Sep1-2025Sep30CustomUnified'!$AH145:$AI145)</f>
        <v>-1</v>
      </c>
      <c r="AK145" s="220">
        <f>'2025Sep1-2025Sep30CustomUnified'!$Z145</f>
        <v>66.2</v>
      </c>
      <c r="AL145" s="220">
        <f>'2025Sep1-2025Sep30CustomUnified'!$AA145+'2025Sep1-2025Sep30CustomUnified'!$W145+'2025Sep1-2025Sep30CustomUnified'!$U145+'2025Sep1-2025Sep30CustomUnified'!$S145+'2025Sep1-2025Sep30CustomUnified'!$Q145</f>
        <v>68</v>
      </c>
      <c r="AM145" s="220">
        <f>SUM('2025Sep1-2025Sep30CustomUnified'!$AB145:$AC145)</f>
        <v>0</v>
      </c>
      <c r="AN145" s="220">
        <f>SUM('2025Sep1-2025Sep30CustomUnified'!$AK145:$AM145)</f>
        <v>134.2</v>
      </c>
      <c r="AO145" s="220">
        <f>'2025Sep1-2025Sep30CustomUnified'!$AG145+'2025Sep1-2025Sep30CustomUnified'!$AN145</f>
        <v>-545.79</v>
      </c>
    </row>
    <row r="146" ht="15.75" customHeight="1">
      <c r="A146" s="220" t="s">
        <v>865</v>
      </c>
      <c r="B146" s="220">
        <v>2.4549234341E10</v>
      </c>
      <c r="C146" s="220" t="s">
        <v>443</v>
      </c>
      <c r="D146" s="220" t="s">
        <v>866</v>
      </c>
      <c r="E146" s="220" t="s">
        <v>225</v>
      </c>
      <c r="F146" s="220" t="s">
        <v>468</v>
      </c>
      <c r="G146" s="220">
        <v>1.0</v>
      </c>
      <c r="H146" s="220" t="s">
        <v>446</v>
      </c>
      <c r="I146" s="220" t="s">
        <v>447</v>
      </c>
      <c r="J146" s="220" t="s">
        <v>448</v>
      </c>
      <c r="K146" s="220" t="s">
        <v>867</v>
      </c>
      <c r="L146" s="220" t="s">
        <v>868</v>
      </c>
      <c r="M146" s="220">
        <v>46259.0</v>
      </c>
      <c r="N146" s="220" t="s">
        <v>451</v>
      </c>
      <c r="O146" s="220">
        <v>139.99</v>
      </c>
      <c r="P146" s="220">
        <v>9.8</v>
      </c>
      <c r="Q146" s="220">
        <v>0.0</v>
      </c>
      <c r="R146" s="220">
        <v>0.0</v>
      </c>
      <c r="S146" s="220">
        <v>0.0</v>
      </c>
      <c r="T146" s="220">
        <v>0.0</v>
      </c>
      <c r="U146" s="220">
        <v>0.0</v>
      </c>
      <c r="V146" s="220">
        <v>0.0</v>
      </c>
      <c r="W146" s="220">
        <v>0.0</v>
      </c>
      <c r="X146" s="220">
        <v>0.0</v>
      </c>
      <c r="Y146" s="220">
        <v>-9.8</v>
      </c>
      <c r="Z146" s="220">
        <v>-21.0</v>
      </c>
      <c r="AA146" s="220">
        <v>-25.95</v>
      </c>
      <c r="AB146" s="220">
        <v>0.0</v>
      </c>
      <c r="AC146" s="220">
        <v>0.0</v>
      </c>
      <c r="AD146" s="220">
        <v>93.04</v>
      </c>
      <c r="AE146" s="220">
        <f>IF('2025Sep1-2025Sep30CustomUnified'!$C146="order",'2025Sep1-2025Sep30CustomUnified'!$O146,0)</f>
        <v>139.99</v>
      </c>
      <c r="AF146" s="220">
        <f>IF('2025Sep1-2025Sep30CustomUnified'!$C146="refund",'2025Sep1-2025Sep30CustomUnified'!$O146,0)</f>
        <v>0</v>
      </c>
      <c r="AG146" s="220">
        <f>SUM('2025Sep1-2025Sep30CustomUnified'!$AE146:$AF146)</f>
        <v>139.99</v>
      </c>
      <c r="AH146" s="220">
        <f>IF('2025Sep1-2025Sep30CustomUnified'!$C146="order",'2025Sep1-2025Sep30CustomUnified'!$G146,0)</f>
        <v>1</v>
      </c>
      <c r="AI146" s="220">
        <f>IF('2025Sep1-2025Sep30CustomUnified'!$C146="refund",-'2025Sep1-2025Sep30CustomUnified'!$G146,0)</f>
        <v>0</v>
      </c>
      <c r="AJ146" s="220">
        <f>SUM('2025Sep1-2025Sep30CustomUnified'!$AH146:$AI146)</f>
        <v>1</v>
      </c>
      <c r="AK146" s="220">
        <f>'2025Sep1-2025Sep30CustomUnified'!$Z146</f>
        <v>-21</v>
      </c>
      <c r="AL146" s="220">
        <f>'2025Sep1-2025Sep30CustomUnified'!$AA146+'2025Sep1-2025Sep30CustomUnified'!$W146+'2025Sep1-2025Sep30CustomUnified'!$U146+'2025Sep1-2025Sep30CustomUnified'!$S146+'2025Sep1-2025Sep30CustomUnified'!$Q146</f>
        <v>-25.95</v>
      </c>
      <c r="AM146" s="220">
        <f>SUM('2025Sep1-2025Sep30CustomUnified'!$AB146:$AC146)</f>
        <v>0</v>
      </c>
      <c r="AN146" s="220">
        <f>SUM('2025Sep1-2025Sep30CustomUnified'!$AK146:$AM146)</f>
        <v>-46.95</v>
      </c>
      <c r="AO146" s="220">
        <f>'2025Sep1-2025Sep30CustomUnified'!$AG146+'2025Sep1-2025Sep30CustomUnified'!$AN146</f>
        <v>93.04</v>
      </c>
    </row>
    <row r="147" ht="15.75" hidden="1" customHeight="1">
      <c r="A147" s="220" t="s">
        <v>869</v>
      </c>
      <c r="B147" s="220">
        <v>2.4549234341E10</v>
      </c>
      <c r="C147" s="220" t="s">
        <v>443</v>
      </c>
      <c r="D147" s="220" t="s">
        <v>862</v>
      </c>
      <c r="E147" s="220" t="s">
        <v>389</v>
      </c>
      <c r="F147" s="220" t="s">
        <v>492</v>
      </c>
      <c r="G147" s="220">
        <v>1.0</v>
      </c>
      <c r="H147" s="220" t="s">
        <v>446</v>
      </c>
      <c r="I147" s="220" t="s">
        <v>447</v>
      </c>
      <c r="J147" s="220" t="s">
        <v>448</v>
      </c>
      <c r="K147" s="220" t="s">
        <v>863</v>
      </c>
      <c r="L147" s="220" t="s">
        <v>864</v>
      </c>
      <c r="M147" s="220">
        <v>22180.0</v>
      </c>
      <c r="N147" s="220" t="s">
        <v>451</v>
      </c>
      <c r="O147" s="220">
        <v>679.99</v>
      </c>
      <c r="P147" s="220">
        <v>36.72</v>
      </c>
      <c r="Q147" s="220">
        <v>0.0</v>
      </c>
      <c r="R147" s="220">
        <v>0.0</v>
      </c>
      <c r="S147" s="220">
        <v>0.0</v>
      </c>
      <c r="T147" s="220">
        <v>0.0</v>
      </c>
      <c r="U147" s="220">
        <v>0.0</v>
      </c>
      <c r="V147" s="220">
        <v>0.0</v>
      </c>
      <c r="W147" s="220">
        <v>-68.0</v>
      </c>
      <c r="X147" s="220">
        <v>0.0</v>
      </c>
      <c r="Y147" s="220">
        <v>-36.72</v>
      </c>
      <c r="Z147" s="220">
        <v>-71.2</v>
      </c>
      <c r="AA147" s="220">
        <v>-194.95</v>
      </c>
      <c r="AB147" s="220">
        <v>0.0</v>
      </c>
      <c r="AC147" s="220">
        <v>0.0</v>
      </c>
      <c r="AD147" s="220">
        <v>345.84</v>
      </c>
      <c r="AE147" s="220">
        <f>IF('2025Sep1-2025Sep30CustomUnified'!$C147="order",'2025Sep1-2025Sep30CustomUnified'!$O147,0)</f>
        <v>679.99</v>
      </c>
      <c r="AF147" s="220">
        <f>IF('2025Sep1-2025Sep30CustomUnified'!$C147="refund",'2025Sep1-2025Sep30CustomUnified'!$O147,0)</f>
        <v>0</v>
      </c>
      <c r="AG147" s="220">
        <f>SUM('2025Sep1-2025Sep30CustomUnified'!$AE147:$AF147)</f>
        <v>679.99</v>
      </c>
      <c r="AH147" s="220">
        <f>IF('2025Sep1-2025Sep30CustomUnified'!$C147="order",'2025Sep1-2025Sep30CustomUnified'!$G147,0)</f>
        <v>1</v>
      </c>
      <c r="AI147" s="220">
        <f>IF('2025Sep1-2025Sep30CustomUnified'!$C147="refund",-'2025Sep1-2025Sep30CustomUnified'!$G147,0)</f>
        <v>0</v>
      </c>
      <c r="AJ147" s="220">
        <f>SUM('2025Sep1-2025Sep30CustomUnified'!$AH147:$AI147)</f>
        <v>1</v>
      </c>
      <c r="AK147" s="220">
        <f>'2025Sep1-2025Sep30CustomUnified'!$Z147</f>
        <v>-71.2</v>
      </c>
      <c r="AL147" s="220">
        <f>'2025Sep1-2025Sep30CustomUnified'!$AA147+'2025Sep1-2025Sep30CustomUnified'!$W147+'2025Sep1-2025Sep30CustomUnified'!$U147+'2025Sep1-2025Sep30CustomUnified'!$S147+'2025Sep1-2025Sep30CustomUnified'!$Q147</f>
        <v>-262.95</v>
      </c>
      <c r="AM147" s="220">
        <f>SUM('2025Sep1-2025Sep30CustomUnified'!$AB147:$AC147)</f>
        <v>0</v>
      </c>
      <c r="AN147" s="220">
        <f>SUM('2025Sep1-2025Sep30CustomUnified'!$AK147:$AM147)</f>
        <v>-334.15</v>
      </c>
      <c r="AO147" s="220">
        <f>'2025Sep1-2025Sep30CustomUnified'!$AG147+'2025Sep1-2025Sep30CustomUnified'!$AN147</f>
        <v>345.84</v>
      </c>
    </row>
    <row r="148" ht="15.75" hidden="1" customHeight="1">
      <c r="A148" s="220" t="s">
        <v>870</v>
      </c>
      <c r="B148" s="220">
        <v>2.4549234341E10</v>
      </c>
      <c r="C148" s="220" t="s">
        <v>466</v>
      </c>
      <c r="D148" s="220" t="s">
        <v>871</v>
      </c>
      <c r="E148" s="220" t="s">
        <v>224</v>
      </c>
      <c r="F148" s="220" t="s">
        <v>495</v>
      </c>
      <c r="G148" s="220">
        <v>1.0</v>
      </c>
      <c r="H148" s="220" t="s">
        <v>446</v>
      </c>
      <c r="I148" s="220" t="s">
        <v>447</v>
      </c>
      <c r="J148" s="220" t="s">
        <v>448</v>
      </c>
      <c r="K148" s="220" t="s">
        <v>872</v>
      </c>
      <c r="L148" s="220" t="s">
        <v>834</v>
      </c>
      <c r="M148" s="220">
        <v>84405.0</v>
      </c>
      <c r="N148" s="220" t="s">
        <v>451</v>
      </c>
      <c r="O148" s="220">
        <v>-129.99</v>
      </c>
      <c r="P148" s="220">
        <v>-9.42</v>
      </c>
      <c r="Q148" s="220">
        <v>0.0</v>
      </c>
      <c r="R148" s="220">
        <v>0.0</v>
      </c>
      <c r="S148" s="220">
        <v>0.0</v>
      </c>
      <c r="T148" s="220">
        <v>0.0</v>
      </c>
      <c r="U148" s="220">
        <v>0.0</v>
      </c>
      <c r="V148" s="220">
        <v>0.0</v>
      </c>
      <c r="W148" s="220">
        <v>0.0</v>
      </c>
      <c r="X148" s="220">
        <v>0.0</v>
      </c>
      <c r="Y148" s="220">
        <v>18.84</v>
      </c>
      <c r="Z148" s="220">
        <v>34.0</v>
      </c>
      <c r="AA148" s="220">
        <v>0.0</v>
      </c>
      <c r="AB148" s="220">
        <v>0.0</v>
      </c>
      <c r="AC148" s="220">
        <v>0.0</v>
      </c>
      <c r="AD148" s="220">
        <v>-86.57</v>
      </c>
      <c r="AE148" s="220">
        <f>IF('2025Sep1-2025Sep30CustomUnified'!$C148="order",'2025Sep1-2025Sep30CustomUnified'!$O148,0)</f>
        <v>0</v>
      </c>
      <c r="AF148" s="220">
        <f>IF('2025Sep1-2025Sep30CustomUnified'!$C148="refund",'2025Sep1-2025Sep30CustomUnified'!$O148,0)</f>
        <v>-129.99</v>
      </c>
      <c r="AG148" s="220">
        <f>SUM('2025Sep1-2025Sep30CustomUnified'!$AE148:$AF148)</f>
        <v>-129.99</v>
      </c>
      <c r="AH148" s="220">
        <f>IF('2025Sep1-2025Sep30CustomUnified'!$C148="order",'2025Sep1-2025Sep30CustomUnified'!$G148,0)</f>
        <v>0</v>
      </c>
      <c r="AI148" s="220">
        <f>IF('2025Sep1-2025Sep30CustomUnified'!$C148="refund",-'2025Sep1-2025Sep30CustomUnified'!$G148,0)</f>
        <v>-1</v>
      </c>
      <c r="AJ148" s="220">
        <f>SUM('2025Sep1-2025Sep30CustomUnified'!$AH148:$AI148)</f>
        <v>-1</v>
      </c>
      <c r="AK148" s="220">
        <f>'2025Sep1-2025Sep30CustomUnified'!$Z148</f>
        <v>34</v>
      </c>
      <c r="AL148" s="220">
        <f>'2025Sep1-2025Sep30CustomUnified'!$AA148+'2025Sep1-2025Sep30CustomUnified'!$W148+'2025Sep1-2025Sep30CustomUnified'!$U148+'2025Sep1-2025Sep30CustomUnified'!$S148+'2025Sep1-2025Sep30CustomUnified'!$Q148</f>
        <v>0</v>
      </c>
      <c r="AM148" s="220">
        <f>SUM('2025Sep1-2025Sep30CustomUnified'!$AB148:$AC148)</f>
        <v>0</v>
      </c>
      <c r="AN148" s="220">
        <f>SUM('2025Sep1-2025Sep30CustomUnified'!$AK148:$AM148)</f>
        <v>34</v>
      </c>
      <c r="AO148" s="220">
        <f>'2025Sep1-2025Sep30CustomUnified'!$AG148+'2025Sep1-2025Sep30CustomUnified'!$AN148</f>
        <v>-95.99</v>
      </c>
    </row>
    <row r="149" ht="15.75" hidden="1" customHeight="1">
      <c r="A149" s="220" t="s">
        <v>870</v>
      </c>
      <c r="B149" s="220">
        <v>2.4549234341E10</v>
      </c>
      <c r="C149" s="220" t="s">
        <v>466</v>
      </c>
      <c r="D149" s="220" t="s">
        <v>871</v>
      </c>
      <c r="E149" s="220" t="s">
        <v>224</v>
      </c>
      <c r="F149" s="220" t="s">
        <v>495</v>
      </c>
      <c r="G149" s="220">
        <v>1.0</v>
      </c>
      <c r="H149" s="220" t="s">
        <v>446</v>
      </c>
      <c r="I149" s="220" t="s">
        <v>447</v>
      </c>
      <c r="J149" s="220" t="s">
        <v>448</v>
      </c>
      <c r="K149" s="220" t="s">
        <v>872</v>
      </c>
      <c r="L149" s="220" t="s">
        <v>834</v>
      </c>
      <c r="M149" s="220">
        <v>84405.0</v>
      </c>
      <c r="N149" s="220"/>
      <c r="O149" s="220">
        <v>-129.99</v>
      </c>
      <c r="P149" s="220">
        <v>-9.42</v>
      </c>
      <c r="Q149" s="220">
        <v>0.0</v>
      </c>
      <c r="R149" s="220">
        <v>0.0</v>
      </c>
      <c r="S149" s="220">
        <v>0.0</v>
      </c>
      <c r="T149" s="220">
        <v>0.0</v>
      </c>
      <c r="U149" s="220">
        <v>0.0</v>
      </c>
      <c r="V149" s="220">
        <v>0.0</v>
      </c>
      <c r="W149" s="220">
        <v>0.0</v>
      </c>
      <c r="X149" s="220">
        <v>0.0</v>
      </c>
      <c r="Y149" s="220">
        <v>0.0</v>
      </c>
      <c r="Z149" s="220">
        <v>0.0</v>
      </c>
      <c r="AA149" s="220">
        <v>0.0</v>
      </c>
      <c r="AB149" s="220">
        <v>0.0</v>
      </c>
      <c r="AC149" s="220">
        <v>0.0</v>
      </c>
      <c r="AD149" s="220">
        <v>-139.41</v>
      </c>
      <c r="AE149" s="220">
        <f>IF('2025Sep1-2025Sep30CustomUnified'!$C149="order",'2025Sep1-2025Sep30CustomUnified'!$O149,0)</f>
        <v>0</v>
      </c>
      <c r="AF149" s="220">
        <f>IF('2025Sep1-2025Sep30CustomUnified'!$C149="refund",'2025Sep1-2025Sep30CustomUnified'!$O149,0)</f>
        <v>-129.99</v>
      </c>
      <c r="AG149" s="220">
        <f>SUM('2025Sep1-2025Sep30CustomUnified'!$AE149:$AF149)</f>
        <v>-129.99</v>
      </c>
      <c r="AH149" s="220">
        <f>IF('2025Sep1-2025Sep30CustomUnified'!$C149="order",'2025Sep1-2025Sep30CustomUnified'!$G149,0)</f>
        <v>0</v>
      </c>
      <c r="AI149" s="220">
        <f>IF('2025Sep1-2025Sep30CustomUnified'!$C149="refund",-'2025Sep1-2025Sep30CustomUnified'!$G149,0)</f>
        <v>-1</v>
      </c>
      <c r="AJ149" s="220">
        <f>SUM('2025Sep1-2025Sep30CustomUnified'!$AH149:$AI149)</f>
        <v>-1</v>
      </c>
      <c r="AK149" s="220">
        <f>'2025Sep1-2025Sep30CustomUnified'!$Z149</f>
        <v>0</v>
      </c>
      <c r="AL149" s="220">
        <f>'2025Sep1-2025Sep30CustomUnified'!$AA149+'2025Sep1-2025Sep30CustomUnified'!$W149+'2025Sep1-2025Sep30CustomUnified'!$U149+'2025Sep1-2025Sep30CustomUnified'!$S149+'2025Sep1-2025Sep30CustomUnified'!$Q149</f>
        <v>0</v>
      </c>
      <c r="AM149" s="220">
        <f>SUM('2025Sep1-2025Sep30CustomUnified'!$AB149:$AC149)</f>
        <v>0</v>
      </c>
      <c r="AN149" s="220">
        <f>SUM('2025Sep1-2025Sep30CustomUnified'!$AK149:$AM149)</f>
        <v>0</v>
      </c>
      <c r="AO149" s="220">
        <f>'2025Sep1-2025Sep30CustomUnified'!$AG149+'2025Sep1-2025Sep30CustomUnified'!$AN149</f>
        <v>-129.99</v>
      </c>
    </row>
    <row r="150" ht="15.75" hidden="1" customHeight="1">
      <c r="A150" s="220" t="s">
        <v>873</v>
      </c>
      <c r="B150" s="220">
        <v>2.4549234341E10</v>
      </c>
      <c r="C150" s="220" t="s">
        <v>443</v>
      </c>
      <c r="D150" s="220" t="s">
        <v>874</v>
      </c>
      <c r="E150" s="220" t="s">
        <v>224</v>
      </c>
      <c r="F150" s="220" t="s">
        <v>495</v>
      </c>
      <c r="G150" s="220">
        <v>1.0</v>
      </c>
      <c r="H150" s="220" t="s">
        <v>446</v>
      </c>
      <c r="I150" s="220" t="s">
        <v>447</v>
      </c>
      <c r="J150" s="220" t="s">
        <v>448</v>
      </c>
      <c r="K150" s="220" t="s">
        <v>875</v>
      </c>
      <c r="L150" s="220" t="s">
        <v>520</v>
      </c>
      <c r="M150" s="221" t="s">
        <v>876</v>
      </c>
      <c r="N150" s="220" t="s">
        <v>451</v>
      </c>
      <c r="O150" s="220">
        <v>129.99</v>
      </c>
      <c r="P150" s="220">
        <v>8.33</v>
      </c>
      <c r="Q150" s="220">
        <v>0.0</v>
      </c>
      <c r="R150" s="220">
        <v>0.0</v>
      </c>
      <c r="S150" s="220">
        <v>0.0</v>
      </c>
      <c r="T150" s="220">
        <v>0.0</v>
      </c>
      <c r="U150" s="220">
        <v>0.0</v>
      </c>
      <c r="V150" s="220">
        <v>0.0</v>
      </c>
      <c r="W150" s="220">
        <v>-4.28</v>
      </c>
      <c r="X150" s="220">
        <v>0.0</v>
      </c>
      <c r="Y150" s="220">
        <v>-8.33</v>
      </c>
      <c r="Z150" s="220">
        <v>-18.86</v>
      </c>
      <c r="AA150" s="220">
        <v>-16.45</v>
      </c>
      <c r="AB150" s="220">
        <v>0.0</v>
      </c>
      <c r="AC150" s="220">
        <v>0.0</v>
      </c>
      <c r="AD150" s="220">
        <v>90.4</v>
      </c>
      <c r="AE150" s="220">
        <f>IF('2025Sep1-2025Sep30CustomUnified'!$C150="order",'2025Sep1-2025Sep30CustomUnified'!$O150,0)</f>
        <v>129.99</v>
      </c>
      <c r="AF150" s="220">
        <f>IF('2025Sep1-2025Sep30CustomUnified'!$C150="refund",'2025Sep1-2025Sep30CustomUnified'!$O150,0)</f>
        <v>0</v>
      </c>
      <c r="AG150" s="220">
        <f>SUM('2025Sep1-2025Sep30CustomUnified'!$AE150:$AF150)</f>
        <v>129.99</v>
      </c>
      <c r="AH150" s="220">
        <f>IF('2025Sep1-2025Sep30CustomUnified'!$C150="order",'2025Sep1-2025Sep30CustomUnified'!$G150,0)</f>
        <v>1</v>
      </c>
      <c r="AI150" s="220">
        <f>IF('2025Sep1-2025Sep30CustomUnified'!$C150="refund",-'2025Sep1-2025Sep30CustomUnified'!$G150,0)</f>
        <v>0</v>
      </c>
      <c r="AJ150" s="220">
        <f>SUM('2025Sep1-2025Sep30CustomUnified'!$AH150:$AI150)</f>
        <v>1</v>
      </c>
      <c r="AK150" s="220">
        <f>'2025Sep1-2025Sep30CustomUnified'!$Z150</f>
        <v>-18.86</v>
      </c>
      <c r="AL150" s="220">
        <f>'2025Sep1-2025Sep30CustomUnified'!$AA150+'2025Sep1-2025Sep30CustomUnified'!$W150+'2025Sep1-2025Sep30CustomUnified'!$U150+'2025Sep1-2025Sep30CustomUnified'!$S150+'2025Sep1-2025Sep30CustomUnified'!$Q150</f>
        <v>-20.73</v>
      </c>
      <c r="AM150" s="220">
        <f>SUM('2025Sep1-2025Sep30CustomUnified'!$AB150:$AC150)</f>
        <v>0</v>
      </c>
      <c r="AN150" s="220">
        <f>SUM('2025Sep1-2025Sep30CustomUnified'!$AK150:$AM150)</f>
        <v>-39.59</v>
      </c>
      <c r="AO150" s="220">
        <f>'2025Sep1-2025Sep30CustomUnified'!$AG150+'2025Sep1-2025Sep30CustomUnified'!$AN150</f>
        <v>90.4</v>
      </c>
    </row>
    <row r="151" ht="15.75" hidden="1" customHeight="1">
      <c r="A151" s="220" t="s">
        <v>873</v>
      </c>
      <c r="B151" s="220">
        <v>2.4549234341E10</v>
      </c>
      <c r="C151" s="220" t="s">
        <v>443</v>
      </c>
      <c r="D151" s="220" t="s">
        <v>874</v>
      </c>
      <c r="E151" s="220" t="s">
        <v>222</v>
      </c>
      <c r="F151" s="220" t="s">
        <v>445</v>
      </c>
      <c r="G151" s="220">
        <v>1.0</v>
      </c>
      <c r="H151" s="220" t="s">
        <v>446</v>
      </c>
      <c r="I151" s="220" t="s">
        <v>447</v>
      </c>
      <c r="J151" s="220" t="s">
        <v>448</v>
      </c>
      <c r="K151" s="220" t="s">
        <v>875</v>
      </c>
      <c r="L151" s="220" t="s">
        <v>520</v>
      </c>
      <c r="M151" s="221" t="s">
        <v>876</v>
      </c>
      <c r="N151" s="220" t="s">
        <v>451</v>
      </c>
      <c r="O151" s="220">
        <v>124.99</v>
      </c>
      <c r="P151" s="220">
        <v>8.01</v>
      </c>
      <c r="Q151" s="220">
        <v>0.0</v>
      </c>
      <c r="R151" s="220">
        <v>0.0</v>
      </c>
      <c r="S151" s="220">
        <v>0.0</v>
      </c>
      <c r="T151" s="220">
        <v>0.0</v>
      </c>
      <c r="U151" s="220">
        <v>0.0</v>
      </c>
      <c r="V151" s="220">
        <v>0.0</v>
      </c>
      <c r="W151" s="220">
        <v>-4.11</v>
      </c>
      <c r="X151" s="220">
        <v>0.0</v>
      </c>
      <c r="Y151" s="220">
        <v>-16.02</v>
      </c>
      <c r="Z151" s="220">
        <v>-36.26</v>
      </c>
      <c r="AA151" s="220">
        <v>-16.45</v>
      </c>
      <c r="AB151" s="220">
        <v>0.0</v>
      </c>
      <c r="AC151" s="220">
        <v>0.0</v>
      </c>
      <c r="AD151" s="220">
        <v>60.16</v>
      </c>
      <c r="AE151" s="220">
        <f>IF('2025Sep1-2025Sep30CustomUnified'!$C151="order",'2025Sep1-2025Sep30CustomUnified'!$O151,0)</f>
        <v>124.99</v>
      </c>
      <c r="AF151" s="220">
        <f>IF('2025Sep1-2025Sep30CustomUnified'!$C151="refund",'2025Sep1-2025Sep30CustomUnified'!$O151,0)</f>
        <v>0</v>
      </c>
      <c r="AG151" s="220">
        <f>SUM('2025Sep1-2025Sep30CustomUnified'!$AE151:$AF151)</f>
        <v>124.99</v>
      </c>
      <c r="AH151" s="220">
        <f>IF('2025Sep1-2025Sep30CustomUnified'!$C151="order",'2025Sep1-2025Sep30CustomUnified'!$G151,0)</f>
        <v>1</v>
      </c>
      <c r="AI151" s="220">
        <f>IF('2025Sep1-2025Sep30CustomUnified'!$C151="refund",-'2025Sep1-2025Sep30CustomUnified'!$G151,0)</f>
        <v>0</v>
      </c>
      <c r="AJ151" s="220">
        <f>SUM('2025Sep1-2025Sep30CustomUnified'!$AH151:$AI151)</f>
        <v>1</v>
      </c>
      <c r="AK151" s="220">
        <f>'2025Sep1-2025Sep30CustomUnified'!$Z151</f>
        <v>-36.26</v>
      </c>
      <c r="AL151" s="220">
        <f>'2025Sep1-2025Sep30CustomUnified'!$AA151+'2025Sep1-2025Sep30CustomUnified'!$W151+'2025Sep1-2025Sep30CustomUnified'!$U151+'2025Sep1-2025Sep30CustomUnified'!$S151+'2025Sep1-2025Sep30CustomUnified'!$Q151</f>
        <v>-20.56</v>
      </c>
      <c r="AM151" s="220">
        <f>SUM('2025Sep1-2025Sep30CustomUnified'!$AB151:$AC151)</f>
        <v>0</v>
      </c>
      <c r="AN151" s="220">
        <f>SUM('2025Sep1-2025Sep30CustomUnified'!$AK151:$AM151)</f>
        <v>-56.82</v>
      </c>
      <c r="AO151" s="220">
        <f>'2025Sep1-2025Sep30CustomUnified'!$AG151+'2025Sep1-2025Sep30CustomUnified'!$AN151</f>
        <v>68.17</v>
      </c>
    </row>
    <row r="152" ht="15.75" hidden="1" customHeight="1">
      <c r="A152" s="220" t="s">
        <v>873</v>
      </c>
      <c r="B152" s="220">
        <v>2.4549234341E10</v>
      </c>
      <c r="C152" s="220" t="s">
        <v>443</v>
      </c>
      <c r="D152" s="220" t="s">
        <v>874</v>
      </c>
      <c r="E152" s="220" t="s">
        <v>222</v>
      </c>
      <c r="F152" s="220" t="s">
        <v>445</v>
      </c>
      <c r="G152" s="220">
        <v>1.0</v>
      </c>
      <c r="H152" s="220" t="s">
        <v>446</v>
      </c>
      <c r="I152" s="220" t="s">
        <v>447</v>
      </c>
      <c r="J152" s="220" t="s">
        <v>448</v>
      </c>
      <c r="K152" s="220" t="s">
        <v>875</v>
      </c>
      <c r="L152" s="220" t="s">
        <v>520</v>
      </c>
      <c r="M152" s="221" t="s">
        <v>876</v>
      </c>
      <c r="N152" s="220"/>
      <c r="O152" s="220">
        <v>124.99</v>
      </c>
      <c r="P152" s="220">
        <v>8.01</v>
      </c>
      <c r="Q152" s="220">
        <v>0.0</v>
      </c>
      <c r="R152" s="220">
        <v>0.0</v>
      </c>
      <c r="S152" s="220">
        <v>0.0</v>
      </c>
      <c r="T152" s="220">
        <v>0.0</v>
      </c>
      <c r="U152" s="220">
        <v>0.0</v>
      </c>
      <c r="V152" s="220">
        <v>0.0</v>
      </c>
      <c r="W152" s="220">
        <v>-4.11</v>
      </c>
      <c r="X152" s="220">
        <v>0.0</v>
      </c>
      <c r="Y152" s="220">
        <v>0.0</v>
      </c>
      <c r="Z152" s="220">
        <v>0.0</v>
      </c>
      <c r="AA152" s="220">
        <v>-16.45</v>
      </c>
      <c r="AB152" s="220">
        <v>0.0</v>
      </c>
      <c r="AC152" s="220">
        <v>0.0</v>
      </c>
      <c r="AD152" s="220">
        <v>112.44</v>
      </c>
      <c r="AE152" s="220">
        <f>IF('2025Sep1-2025Sep30CustomUnified'!$C152="order",'2025Sep1-2025Sep30CustomUnified'!$O152,0)</f>
        <v>124.99</v>
      </c>
      <c r="AF152" s="220">
        <f>IF('2025Sep1-2025Sep30CustomUnified'!$C152="refund",'2025Sep1-2025Sep30CustomUnified'!$O152,0)</f>
        <v>0</v>
      </c>
      <c r="AG152" s="220">
        <f>SUM('2025Sep1-2025Sep30CustomUnified'!$AE152:$AF152)</f>
        <v>124.99</v>
      </c>
      <c r="AH152" s="220">
        <f>IF('2025Sep1-2025Sep30CustomUnified'!$C152="order",'2025Sep1-2025Sep30CustomUnified'!$G152,0)</f>
        <v>1</v>
      </c>
      <c r="AI152" s="220">
        <f>IF('2025Sep1-2025Sep30CustomUnified'!$C152="refund",-'2025Sep1-2025Sep30CustomUnified'!$G152,0)</f>
        <v>0</v>
      </c>
      <c r="AJ152" s="220">
        <f>SUM('2025Sep1-2025Sep30CustomUnified'!$AH152:$AI152)</f>
        <v>1</v>
      </c>
      <c r="AK152" s="220">
        <f>'2025Sep1-2025Sep30CustomUnified'!$Z152</f>
        <v>0</v>
      </c>
      <c r="AL152" s="220">
        <f>'2025Sep1-2025Sep30CustomUnified'!$AA152+'2025Sep1-2025Sep30CustomUnified'!$W152+'2025Sep1-2025Sep30CustomUnified'!$U152+'2025Sep1-2025Sep30CustomUnified'!$S152+'2025Sep1-2025Sep30CustomUnified'!$Q152</f>
        <v>-20.56</v>
      </c>
      <c r="AM152" s="220">
        <f>SUM('2025Sep1-2025Sep30CustomUnified'!$AB152:$AC152)</f>
        <v>0</v>
      </c>
      <c r="AN152" s="220">
        <f>SUM('2025Sep1-2025Sep30CustomUnified'!$AK152:$AM152)</f>
        <v>-20.56</v>
      </c>
      <c r="AO152" s="220">
        <f>'2025Sep1-2025Sep30CustomUnified'!$AG152+'2025Sep1-2025Sep30CustomUnified'!$AN152</f>
        <v>104.43</v>
      </c>
    </row>
    <row r="153" ht="15.75" hidden="1" customHeight="1">
      <c r="A153" s="220" t="s">
        <v>877</v>
      </c>
      <c r="B153" s="220">
        <v>2.4549234341E10</v>
      </c>
      <c r="C153" s="220" t="s">
        <v>443</v>
      </c>
      <c r="D153" s="220" t="s">
        <v>878</v>
      </c>
      <c r="E153" s="220" t="s">
        <v>227</v>
      </c>
      <c r="F153" s="220" t="s">
        <v>714</v>
      </c>
      <c r="G153" s="220">
        <v>1.0</v>
      </c>
      <c r="H153" s="220" t="s">
        <v>446</v>
      </c>
      <c r="I153" s="220" t="s">
        <v>447</v>
      </c>
      <c r="J153" s="220" t="s">
        <v>448</v>
      </c>
      <c r="K153" s="220" t="s">
        <v>879</v>
      </c>
      <c r="L153" s="220" t="s">
        <v>662</v>
      </c>
      <c r="M153" s="221" t="s">
        <v>880</v>
      </c>
      <c r="N153" s="220" t="s">
        <v>451</v>
      </c>
      <c r="O153" s="220">
        <v>134.99</v>
      </c>
      <c r="P153" s="220">
        <v>8.44</v>
      </c>
      <c r="Q153" s="220">
        <v>0.0</v>
      </c>
      <c r="R153" s="220">
        <v>0.0</v>
      </c>
      <c r="S153" s="220">
        <v>0.0</v>
      </c>
      <c r="T153" s="220">
        <v>0.0</v>
      </c>
      <c r="U153" s="220">
        <v>0.0</v>
      </c>
      <c r="V153" s="220">
        <v>0.0</v>
      </c>
      <c r="W153" s="220">
        <v>0.0</v>
      </c>
      <c r="X153" s="220">
        <v>0.0</v>
      </c>
      <c r="Y153" s="220">
        <v>-8.44</v>
      </c>
      <c r="Z153" s="220">
        <v>-20.25</v>
      </c>
      <c r="AA153" s="220">
        <v>-24.43</v>
      </c>
      <c r="AB153" s="220">
        <v>0.0</v>
      </c>
      <c r="AC153" s="220">
        <v>0.0</v>
      </c>
      <c r="AD153" s="220">
        <v>90.31</v>
      </c>
      <c r="AE153" s="220">
        <f>IF('2025Sep1-2025Sep30CustomUnified'!$C153="order",'2025Sep1-2025Sep30CustomUnified'!$O153,0)</f>
        <v>134.99</v>
      </c>
      <c r="AF153" s="220">
        <f>IF('2025Sep1-2025Sep30CustomUnified'!$C153="refund",'2025Sep1-2025Sep30CustomUnified'!$O153,0)</f>
        <v>0</v>
      </c>
      <c r="AG153" s="220">
        <f>SUM('2025Sep1-2025Sep30CustomUnified'!$AE153:$AF153)</f>
        <v>134.99</v>
      </c>
      <c r="AH153" s="220">
        <f>IF('2025Sep1-2025Sep30CustomUnified'!$C153="order",'2025Sep1-2025Sep30CustomUnified'!$G153,0)</f>
        <v>1</v>
      </c>
      <c r="AI153" s="220">
        <f>IF('2025Sep1-2025Sep30CustomUnified'!$C153="refund",-'2025Sep1-2025Sep30CustomUnified'!$G153,0)</f>
        <v>0</v>
      </c>
      <c r="AJ153" s="220">
        <f>SUM('2025Sep1-2025Sep30CustomUnified'!$AH153:$AI153)</f>
        <v>1</v>
      </c>
      <c r="AK153" s="220">
        <f>'2025Sep1-2025Sep30CustomUnified'!$Z153</f>
        <v>-20.25</v>
      </c>
      <c r="AL153" s="220">
        <f>'2025Sep1-2025Sep30CustomUnified'!$AA153+'2025Sep1-2025Sep30CustomUnified'!$W153+'2025Sep1-2025Sep30CustomUnified'!$U153+'2025Sep1-2025Sep30CustomUnified'!$S153+'2025Sep1-2025Sep30CustomUnified'!$Q153</f>
        <v>-24.43</v>
      </c>
      <c r="AM153" s="220">
        <f>SUM('2025Sep1-2025Sep30CustomUnified'!$AB153:$AC153)</f>
        <v>0</v>
      </c>
      <c r="AN153" s="220">
        <f>SUM('2025Sep1-2025Sep30CustomUnified'!$AK153:$AM153)</f>
        <v>-44.68</v>
      </c>
      <c r="AO153" s="220">
        <f>'2025Sep1-2025Sep30CustomUnified'!$AG153+'2025Sep1-2025Sep30CustomUnified'!$AN153</f>
        <v>90.31</v>
      </c>
    </row>
    <row r="154" ht="15.75" hidden="1" customHeight="1">
      <c r="A154" s="220" t="s">
        <v>881</v>
      </c>
      <c r="B154" s="220">
        <v>2.4549234341E10</v>
      </c>
      <c r="C154" s="220" t="s">
        <v>443</v>
      </c>
      <c r="D154" s="220" t="s">
        <v>871</v>
      </c>
      <c r="E154" s="220" t="s">
        <v>224</v>
      </c>
      <c r="F154" s="220" t="s">
        <v>495</v>
      </c>
      <c r="G154" s="220">
        <v>1.0</v>
      </c>
      <c r="H154" s="220" t="s">
        <v>446</v>
      </c>
      <c r="I154" s="220" t="s">
        <v>447</v>
      </c>
      <c r="J154" s="220" t="s">
        <v>448</v>
      </c>
      <c r="K154" s="220" t="s">
        <v>872</v>
      </c>
      <c r="L154" s="220" t="s">
        <v>834</v>
      </c>
      <c r="M154" s="220">
        <v>84405.0</v>
      </c>
      <c r="N154" s="220" t="s">
        <v>451</v>
      </c>
      <c r="O154" s="220">
        <v>129.99</v>
      </c>
      <c r="P154" s="220">
        <v>9.42</v>
      </c>
      <c r="Q154" s="220">
        <v>0.0</v>
      </c>
      <c r="R154" s="220">
        <v>0.0</v>
      </c>
      <c r="S154" s="220">
        <v>0.0</v>
      </c>
      <c r="T154" s="220">
        <v>0.0</v>
      </c>
      <c r="U154" s="220">
        <v>0.0</v>
      </c>
      <c r="V154" s="220">
        <v>0.0</v>
      </c>
      <c r="W154" s="220">
        <v>0.0</v>
      </c>
      <c r="X154" s="220">
        <v>0.0</v>
      </c>
      <c r="Y154" s="220">
        <v>-18.84</v>
      </c>
      <c r="Z154" s="220">
        <v>-39.0</v>
      </c>
      <c r="AA154" s="220">
        <v>-16.45</v>
      </c>
      <c r="AB154" s="220">
        <v>0.0</v>
      </c>
      <c r="AC154" s="220">
        <v>0.0</v>
      </c>
      <c r="AD154" s="220">
        <v>65.12</v>
      </c>
      <c r="AE154" s="220">
        <f>IF('2025Sep1-2025Sep30CustomUnified'!$C154="order",'2025Sep1-2025Sep30CustomUnified'!$O154,0)</f>
        <v>129.99</v>
      </c>
      <c r="AF154" s="220">
        <f>IF('2025Sep1-2025Sep30CustomUnified'!$C154="refund",'2025Sep1-2025Sep30CustomUnified'!$O154,0)</f>
        <v>0</v>
      </c>
      <c r="AG154" s="220">
        <f>SUM('2025Sep1-2025Sep30CustomUnified'!$AE154:$AF154)</f>
        <v>129.99</v>
      </c>
      <c r="AH154" s="220">
        <f>IF('2025Sep1-2025Sep30CustomUnified'!$C154="order",'2025Sep1-2025Sep30CustomUnified'!$G154,0)</f>
        <v>1</v>
      </c>
      <c r="AI154" s="220">
        <f>IF('2025Sep1-2025Sep30CustomUnified'!$C154="refund",-'2025Sep1-2025Sep30CustomUnified'!$G154,0)</f>
        <v>0</v>
      </c>
      <c r="AJ154" s="220">
        <f>SUM('2025Sep1-2025Sep30CustomUnified'!$AH154:$AI154)</f>
        <v>1</v>
      </c>
      <c r="AK154" s="220">
        <f>'2025Sep1-2025Sep30CustomUnified'!$Z154</f>
        <v>-39</v>
      </c>
      <c r="AL154" s="220">
        <f>'2025Sep1-2025Sep30CustomUnified'!$AA154+'2025Sep1-2025Sep30CustomUnified'!$W154+'2025Sep1-2025Sep30CustomUnified'!$U154+'2025Sep1-2025Sep30CustomUnified'!$S154+'2025Sep1-2025Sep30CustomUnified'!$Q154</f>
        <v>-16.45</v>
      </c>
      <c r="AM154" s="220">
        <f>SUM('2025Sep1-2025Sep30CustomUnified'!$AB154:$AC154)</f>
        <v>0</v>
      </c>
      <c r="AN154" s="220">
        <f>SUM('2025Sep1-2025Sep30CustomUnified'!$AK154:$AM154)</f>
        <v>-55.45</v>
      </c>
      <c r="AO154" s="220">
        <f>'2025Sep1-2025Sep30CustomUnified'!$AG154+'2025Sep1-2025Sep30CustomUnified'!$AN154</f>
        <v>74.54</v>
      </c>
    </row>
    <row r="155" ht="15.75" hidden="1" customHeight="1">
      <c r="A155" s="220" t="s">
        <v>881</v>
      </c>
      <c r="B155" s="220">
        <v>2.4549234341E10</v>
      </c>
      <c r="C155" s="220" t="s">
        <v>443</v>
      </c>
      <c r="D155" s="220" t="s">
        <v>871</v>
      </c>
      <c r="E155" s="220" t="s">
        <v>224</v>
      </c>
      <c r="F155" s="220" t="s">
        <v>495</v>
      </c>
      <c r="G155" s="220">
        <v>1.0</v>
      </c>
      <c r="H155" s="220" t="s">
        <v>446</v>
      </c>
      <c r="I155" s="220" t="s">
        <v>447</v>
      </c>
      <c r="J155" s="220" t="s">
        <v>448</v>
      </c>
      <c r="K155" s="220" t="s">
        <v>872</v>
      </c>
      <c r="L155" s="220" t="s">
        <v>834</v>
      </c>
      <c r="M155" s="220">
        <v>84405.0</v>
      </c>
      <c r="N155" s="220"/>
      <c r="O155" s="220">
        <v>129.99</v>
      </c>
      <c r="P155" s="220">
        <v>9.42</v>
      </c>
      <c r="Q155" s="220">
        <v>0.0</v>
      </c>
      <c r="R155" s="220">
        <v>0.0</v>
      </c>
      <c r="S155" s="220">
        <v>0.0</v>
      </c>
      <c r="T155" s="220">
        <v>0.0</v>
      </c>
      <c r="U155" s="220">
        <v>0.0</v>
      </c>
      <c r="V155" s="220">
        <v>0.0</v>
      </c>
      <c r="W155" s="220">
        <v>0.0</v>
      </c>
      <c r="X155" s="220">
        <v>0.0</v>
      </c>
      <c r="Y155" s="220">
        <v>0.0</v>
      </c>
      <c r="Z155" s="220">
        <v>0.0</v>
      </c>
      <c r="AA155" s="220">
        <v>-16.45</v>
      </c>
      <c r="AB155" s="220">
        <v>0.0</v>
      </c>
      <c r="AC155" s="220">
        <v>0.0</v>
      </c>
      <c r="AD155" s="220">
        <v>122.96</v>
      </c>
      <c r="AE155" s="220">
        <f>IF('2025Sep1-2025Sep30CustomUnified'!$C155="order",'2025Sep1-2025Sep30CustomUnified'!$O155,0)</f>
        <v>129.99</v>
      </c>
      <c r="AF155" s="220">
        <f>IF('2025Sep1-2025Sep30CustomUnified'!$C155="refund",'2025Sep1-2025Sep30CustomUnified'!$O155,0)</f>
        <v>0</v>
      </c>
      <c r="AG155" s="220">
        <f>SUM('2025Sep1-2025Sep30CustomUnified'!$AE155:$AF155)</f>
        <v>129.99</v>
      </c>
      <c r="AH155" s="220">
        <f>IF('2025Sep1-2025Sep30CustomUnified'!$C155="order",'2025Sep1-2025Sep30CustomUnified'!$G155,0)</f>
        <v>1</v>
      </c>
      <c r="AI155" s="220">
        <f>IF('2025Sep1-2025Sep30CustomUnified'!$C155="refund",-'2025Sep1-2025Sep30CustomUnified'!$G155,0)</f>
        <v>0</v>
      </c>
      <c r="AJ155" s="220">
        <f>SUM('2025Sep1-2025Sep30CustomUnified'!$AH155:$AI155)</f>
        <v>1</v>
      </c>
      <c r="AK155" s="220">
        <f>'2025Sep1-2025Sep30CustomUnified'!$Z155</f>
        <v>0</v>
      </c>
      <c r="AL155" s="220">
        <f>'2025Sep1-2025Sep30CustomUnified'!$AA155+'2025Sep1-2025Sep30CustomUnified'!$W155+'2025Sep1-2025Sep30CustomUnified'!$U155+'2025Sep1-2025Sep30CustomUnified'!$S155+'2025Sep1-2025Sep30CustomUnified'!$Q155</f>
        <v>-16.45</v>
      </c>
      <c r="AM155" s="220">
        <f>SUM('2025Sep1-2025Sep30CustomUnified'!$AB155:$AC155)</f>
        <v>0</v>
      </c>
      <c r="AN155" s="220">
        <f>SUM('2025Sep1-2025Sep30CustomUnified'!$AK155:$AM155)</f>
        <v>-16.45</v>
      </c>
      <c r="AO155" s="220">
        <f>'2025Sep1-2025Sep30CustomUnified'!$AG155+'2025Sep1-2025Sep30CustomUnified'!$AN155</f>
        <v>113.54</v>
      </c>
    </row>
    <row r="156" ht="15.75" hidden="1" customHeight="1">
      <c r="A156" s="220" t="s">
        <v>882</v>
      </c>
      <c r="B156" s="220">
        <v>2.4549234341E10</v>
      </c>
      <c r="C156" s="220" t="s">
        <v>443</v>
      </c>
      <c r="D156" s="220" t="s">
        <v>883</v>
      </c>
      <c r="E156" s="220" t="s">
        <v>222</v>
      </c>
      <c r="F156" s="220" t="s">
        <v>445</v>
      </c>
      <c r="G156" s="220">
        <v>1.0</v>
      </c>
      <c r="H156" s="220" t="s">
        <v>446</v>
      </c>
      <c r="I156" s="220" t="s">
        <v>447</v>
      </c>
      <c r="J156" s="220" t="s">
        <v>448</v>
      </c>
      <c r="K156" s="220" t="s">
        <v>683</v>
      </c>
      <c r="L156" s="220" t="s">
        <v>475</v>
      </c>
      <c r="M156" s="220">
        <v>33133.0</v>
      </c>
      <c r="N156" s="220" t="s">
        <v>451</v>
      </c>
      <c r="O156" s="220">
        <v>124.99</v>
      </c>
      <c r="P156" s="220">
        <v>8.75</v>
      </c>
      <c r="Q156" s="220">
        <v>0.0</v>
      </c>
      <c r="R156" s="220">
        <v>0.0</v>
      </c>
      <c r="S156" s="220">
        <v>0.0</v>
      </c>
      <c r="T156" s="220">
        <v>0.0</v>
      </c>
      <c r="U156" s="220">
        <v>0.0</v>
      </c>
      <c r="V156" s="220">
        <v>0.0</v>
      </c>
      <c r="W156" s="220">
        <v>0.0</v>
      </c>
      <c r="X156" s="220">
        <v>0.0</v>
      </c>
      <c r="Y156" s="220">
        <v>-8.75</v>
      </c>
      <c r="Z156" s="220">
        <v>-18.75</v>
      </c>
      <c r="AA156" s="220">
        <v>-16.45</v>
      </c>
      <c r="AB156" s="220">
        <v>0.0</v>
      </c>
      <c r="AC156" s="220">
        <v>0.0</v>
      </c>
      <c r="AD156" s="220">
        <v>89.79</v>
      </c>
      <c r="AE156" s="220">
        <f>IF('2025Sep1-2025Sep30CustomUnified'!$C156="order",'2025Sep1-2025Sep30CustomUnified'!$O156,0)</f>
        <v>124.99</v>
      </c>
      <c r="AF156" s="220">
        <f>IF('2025Sep1-2025Sep30CustomUnified'!$C156="refund",'2025Sep1-2025Sep30CustomUnified'!$O156,0)</f>
        <v>0</v>
      </c>
      <c r="AG156" s="220">
        <f>SUM('2025Sep1-2025Sep30CustomUnified'!$AE156:$AF156)</f>
        <v>124.99</v>
      </c>
      <c r="AH156" s="220">
        <f>IF('2025Sep1-2025Sep30CustomUnified'!$C156="order",'2025Sep1-2025Sep30CustomUnified'!$G156,0)</f>
        <v>1</v>
      </c>
      <c r="AI156" s="220">
        <f>IF('2025Sep1-2025Sep30CustomUnified'!$C156="refund",-'2025Sep1-2025Sep30CustomUnified'!$G156,0)</f>
        <v>0</v>
      </c>
      <c r="AJ156" s="220">
        <f>SUM('2025Sep1-2025Sep30CustomUnified'!$AH156:$AI156)</f>
        <v>1</v>
      </c>
      <c r="AK156" s="220">
        <f>'2025Sep1-2025Sep30CustomUnified'!$Z156</f>
        <v>-18.75</v>
      </c>
      <c r="AL156" s="220">
        <f>'2025Sep1-2025Sep30CustomUnified'!$AA156+'2025Sep1-2025Sep30CustomUnified'!$W156+'2025Sep1-2025Sep30CustomUnified'!$U156+'2025Sep1-2025Sep30CustomUnified'!$S156+'2025Sep1-2025Sep30CustomUnified'!$Q156</f>
        <v>-16.45</v>
      </c>
      <c r="AM156" s="220">
        <f>SUM('2025Sep1-2025Sep30CustomUnified'!$AB156:$AC156)</f>
        <v>0</v>
      </c>
      <c r="AN156" s="220">
        <f>SUM('2025Sep1-2025Sep30CustomUnified'!$AK156:$AM156)</f>
        <v>-35.2</v>
      </c>
      <c r="AO156" s="220">
        <f>'2025Sep1-2025Sep30CustomUnified'!$AG156+'2025Sep1-2025Sep30CustomUnified'!$AN156</f>
        <v>89.79</v>
      </c>
    </row>
    <row r="157" ht="15.75" hidden="1" customHeight="1">
      <c r="A157" s="220" t="s">
        <v>884</v>
      </c>
      <c r="B157" s="220">
        <v>2.4549234341E10</v>
      </c>
      <c r="C157" s="220" t="s">
        <v>443</v>
      </c>
      <c r="D157" s="220" t="s">
        <v>885</v>
      </c>
      <c r="E157" s="220" t="s">
        <v>228</v>
      </c>
      <c r="F157" s="220" t="s">
        <v>458</v>
      </c>
      <c r="G157" s="220">
        <v>1.0</v>
      </c>
      <c r="H157" s="220" t="s">
        <v>446</v>
      </c>
      <c r="I157" s="220" t="s">
        <v>447</v>
      </c>
      <c r="J157" s="220" t="s">
        <v>448</v>
      </c>
      <c r="K157" s="220" t="s">
        <v>886</v>
      </c>
      <c r="L157" s="220" t="s">
        <v>455</v>
      </c>
      <c r="M157" s="220">
        <v>92887.0</v>
      </c>
      <c r="N157" s="220" t="s">
        <v>451</v>
      </c>
      <c r="O157" s="220">
        <v>239.99</v>
      </c>
      <c r="P157" s="220">
        <v>18.6</v>
      </c>
      <c r="Q157" s="220">
        <v>0.0</v>
      </c>
      <c r="R157" s="220">
        <v>0.0</v>
      </c>
      <c r="S157" s="220">
        <v>0.0</v>
      </c>
      <c r="T157" s="220">
        <v>0.0</v>
      </c>
      <c r="U157" s="220">
        <v>0.0</v>
      </c>
      <c r="V157" s="220">
        <v>0.0</v>
      </c>
      <c r="W157" s="220">
        <v>0.0</v>
      </c>
      <c r="X157" s="220">
        <v>0.0</v>
      </c>
      <c r="Y157" s="220">
        <v>-18.6</v>
      </c>
      <c r="Z157" s="220">
        <v>-34.0</v>
      </c>
      <c r="AA157" s="220">
        <v>-21.39</v>
      </c>
      <c r="AB157" s="220">
        <v>0.0</v>
      </c>
      <c r="AC157" s="220">
        <v>0.0</v>
      </c>
      <c r="AD157" s="220">
        <v>184.6</v>
      </c>
      <c r="AE157" s="220">
        <f>IF('2025Sep1-2025Sep30CustomUnified'!$C157="order",'2025Sep1-2025Sep30CustomUnified'!$O157,0)</f>
        <v>239.99</v>
      </c>
      <c r="AF157" s="220">
        <f>IF('2025Sep1-2025Sep30CustomUnified'!$C157="refund",'2025Sep1-2025Sep30CustomUnified'!$O157,0)</f>
        <v>0</v>
      </c>
      <c r="AG157" s="220">
        <f>SUM('2025Sep1-2025Sep30CustomUnified'!$AE157:$AF157)</f>
        <v>239.99</v>
      </c>
      <c r="AH157" s="220">
        <f>IF('2025Sep1-2025Sep30CustomUnified'!$C157="order",'2025Sep1-2025Sep30CustomUnified'!$G157,0)</f>
        <v>1</v>
      </c>
      <c r="AI157" s="220">
        <f>IF('2025Sep1-2025Sep30CustomUnified'!$C157="refund",-'2025Sep1-2025Sep30CustomUnified'!$G157,0)</f>
        <v>0</v>
      </c>
      <c r="AJ157" s="220">
        <f>SUM('2025Sep1-2025Sep30CustomUnified'!$AH157:$AI157)</f>
        <v>1</v>
      </c>
      <c r="AK157" s="220">
        <f>'2025Sep1-2025Sep30CustomUnified'!$Z157</f>
        <v>-34</v>
      </c>
      <c r="AL157" s="220">
        <f>'2025Sep1-2025Sep30CustomUnified'!$AA157+'2025Sep1-2025Sep30CustomUnified'!$W157+'2025Sep1-2025Sep30CustomUnified'!$U157+'2025Sep1-2025Sep30CustomUnified'!$S157+'2025Sep1-2025Sep30CustomUnified'!$Q157</f>
        <v>-21.39</v>
      </c>
      <c r="AM157" s="220">
        <f>SUM('2025Sep1-2025Sep30CustomUnified'!$AB157:$AC157)</f>
        <v>0</v>
      </c>
      <c r="AN157" s="220">
        <f>SUM('2025Sep1-2025Sep30CustomUnified'!$AK157:$AM157)</f>
        <v>-55.39</v>
      </c>
      <c r="AO157" s="220">
        <f>'2025Sep1-2025Sep30CustomUnified'!$AG157+'2025Sep1-2025Sep30CustomUnified'!$AN157</f>
        <v>184.6</v>
      </c>
    </row>
    <row r="158" ht="15.75" customHeight="1">
      <c r="A158" s="220" t="s">
        <v>887</v>
      </c>
      <c r="B158" s="220">
        <v>2.4549234341E10</v>
      </c>
      <c r="C158" s="220" t="s">
        <v>443</v>
      </c>
      <c r="D158" s="220" t="s">
        <v>888</v>
      </c>
      <c r="E158" s="220" t="s">
        <v>225</v>
      </c>
      <c r="F158" s="220" t="s">
        <v>468</v>
      </c>
      <c r="G158" s="220">
        <v>1.0</v>
      </c>
      <c r="H158" s="220" t="s">
        <v>446</v>
      </c>
      <c r="I158" s="220" t="s">
        <v>447</v>
      </c>
      <c r="J158" s="220" t="s">
        <v>448</v>
      </c>
      <c r="K158" s="220" t="s">
        <v>489</v>
      </c>
      <c r="L158" s="220" t="s">
        <v>455</v>
      </c>
      <c r="M158" s="220">
        <v>90043.0</v>
      </c>
      <c r="N158" s="220" t="s">
        <v>451</v>
      </c>
      <c r="O158" s="220">
        <v>139.99</v>
      </c>
      <c r="P158" s="220">
        <v>13.65</v>
      </c>
      <c r="Q158" s="220">
        <v>0.0</v>
      </c>
      <c r="R158" s="220">
        <v>0.0</v>
      </c>
      <c r="S158" s="220">
        <v>0.0</v>
      </c>
      <c r="T158" s="220">
        <v>0.0</v>
      </c>
      <c r="U158" s="220">
        <v>0.0</v>
      </c>
      <c r="V158" s="220">
        <v>0.0</v>
      </c>
      <c r="W158" s="220">
        <v>0.0</v>
      </c>
      <c r="X158" s="220">
        <v>0.0</v>
      </c>
      <c r="Y158" s="220">
        <v>-13.65</v>
      </c>
      <c r="Z158" s="220">
        <v>-21.0</v>
      </c>
      <c r="AA158" s="220">
        <v>-25.95</v>
      </c>
      <c r="AB158" s="220">
        <v>0.0</v>
      </c>
      <c r="AC158" s="220">
        <v>0.0</v>
      </c>
      <c r="AD158" s="220">
        <v>93.04</v>
      </c>
      <c r="AE158" s="220">
        <f>IF('2025Sep1-2025Sep30CustomUnified'!$C158="order",'2025Sep1-2025Sep30CustomUnified'!$O158,0)</f>
        <v>139.99</v>
      </c>
      <c r="AF158" s="220">
        <f>IF('2025Sep1-2025Sep30CustomUnified'!$C158="refund",'2025Sep1-2025Sep30CustomUnified'!$O158,0)</f>
        <v>0</v>
      </c>
      <c r="AG158" s="220">
        <f>SUM('2025Sep1-2025Sep30CustomUnified'!$AE158:$AF158)</f>
        <v>139.99</v>
      </c>
      <c r="AH158" s="220">
        <f>IF('2025Sep1-2025Sep30CustomUnified'!$C158="order",'2025Sep1-2025Sep30CustomUnified'!$G158,0)</f>
        <v>1</v>
      </c>
      <c r="AI158" s="220">
        <f>IF('2025Sep1-2025Sep30CustomUnified'!$C158="refund",-'2025Sep1-2025Sep30CustomUnified'!$G158,0)</f>
        <v>0</v>
      </c>
      <c r="AJ158" s="220">
        <f>SUM('2025Sep1-2025Sep30CustomUnified'!$AH158:$AI158)</f>
        <v>1</v>
      </c>
      <c r="AK158" s="220">
        <f>'2025Sep1-2025Sep30CustomUnified'!$Z158</f>
        <v>-21</v>
      </c>
      <c r="AL158" s="220">
        <f>'2025Sep1-2025Sep30CustomUnified'!$AA158+'2025Sep1-2025Sep30CustomUnified'!$W158+'2025Sep1-2025Sep30CustomUnified'!$U158+'2025Sep1-2025Sep30CustomUnified'!$S158+'2025Sep1-2025Sep30CustomUnified'!$Q158</f>
        <v>-25.95</v>
      </c>
      <c r="AM158" s="220">
        <f>SUM('2025Sep1-2025Sep30CustomUnified'!$AB158:$AC158)</f>
        <v>0</v>
      </c>
      <c r="AN158" s="220">
        <f>SUM('2025Sep1-2025Sep30CustomUnified'!$AK158:$AM158)</f>
        <v>-46.95</v>
      </c>
      <c r="AO158" s="220">
        <f>'2025Sep1-2025Sep30CustomUnified'!$AG158+'2025Sep1-2025Sep30CustomUnified'!$AN158</f>
        <v>93.04</v>
      </c>
    </row>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orientation="landscape"/>
  <drawing r:id="rId1"/>
  <tableParts count="1">
    <tablePart r:id="rId3"/>
  </tableParts>
</worksheet>
</file>

<file path=xl/worksheets/sheet1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92.63"/>
    <col customWidth="1" min="2" max="2" width="11.88"/>
    <col customWidth="1" min="3" max="26" width="8.63"/>
  </cols>
  <sheetData>
    <row r="1">
      <c r="A1" s="222" t="s">
        <v>374</v>
      </c>
      <c r="B1" s="223" t="s">
        <v>889</v>
      </c>
    </row>
    <row r="2">
      <c r="A2" s="224" t="s">
        <v>890</v>
      </c>
      <c r="B2" s="225">
        <v>234.49</v>
      </c>
    </row>
    <row r="3">
      <c r="A3" s="224" t="s">
        <v>891</v>
      </c>
      <c r="B3" s="226">
        <v>187.63</v>
      </c>
    </row>
    <row r="4">
      <c r="A4" s="224" t="s">
        <v>892</v>
      </c>
      <c r="B4" s="226">
        <v>71.54</v>
      </c>
    </row>
    <row r="5">
      <c r="A5" s="224" t="s">
        <v>893</v>
      </c>
      <c r="B5" s="226">
        <v>-57.93</v>
      </c>
    </row>
    <row r="6">
      <c r="A6" s="224" t="s">
        <v>894</v>
      </c>
      <c r="B6" s="226">
        <v>33.25</v>
      </c>
    </row>
    <row r="7">
      <c r="A7" s="224" t="s">
        <v>895</v>
      </c>
      <c r="B7" s="225">
        <v>-199.9</v>
      </c>
    </row>
    <row r="8">
      <c r="A8" s="224" t="s">
        <v>896</v>
      </c>
      <c r="B8" s="226">
        <v>-5.0</v>
      </c>
    </row>
    <row r="9">
      <c r="A9" s="224" t="s">
        <v>897</v>
      </c>
      <c r="B9" s="226">
        <v>-194.9</v>
      </c>
    </row>
    <row r="10">
      <c r="A10" s="224" t="s">
        <v>898</v>
      </c>
      <c r="B10" s="225">
        <v>-166.49</v>
      </c>
    </row>
    <row r="11">
      <c r="A11" s="224" t="s">
        <v>637</v>
      </c>
      <c r="B11" s="226">
        <v>-166.49</v>
      </c>
    </row>
    <row r="12">
      <c r="A12" s="224" t="s">
        <v>899</v>
      </c>
      <c r="B12" s="226">
        <v>5714.2</v>
      </c>
    </row>
    <row r="13">
      <c r="A13" s="224" t="s">
        <v>900</v>
      </c>
      <c r="B13" s="226">
        <v>3717.23</v>
      </c>
    </row>
    <row r="14">
      <c r="A14" s="224" t="s">
        <v>901</v>
      </c>
      <c r="B14" s="226">
        <v>1996.97</v>
      </c>
    </row>
    <row r="15">
      <c r="A15" s="224" t="s">
        <v>902</v>
      </c>
      <c r="B15" s="226">
        <v>-2927.7</v>
      </c>
    </row>
    <row r="16">
      <c r="A16" s="224" t="s">
        <v>903</v>
      </c>
      <c r="B16" s="225">
        <v>-701.3000000000001</v>
      </c>
    </row>
    <row r="17">
      <c r="A17" s="224" t="s">
        <v>904</v>
      </c>
      <c r="B17" s="225">
        <v>-181.69</v>
      </c>
    </row>
    <row r="18">
      <c r="A18" s="224" t="s">
        <v>905</v>
      </c>
      <c r="B18" s="227">
        <v>-2044.71</v>
      </c>
    </row>
    <row r="19" ht="15.75" customHeight="1">
      <c r="A19" s="224" t="s">
        <v>906</v>
      </c>
      <c r="B19" s="226">
        <v>0.0</v>
      </c>
    </row>
    <row r="20" ht="15.75" customHeight="1">
      <c r="A20" s="224" t="s">
        <v>907</v>
      </c>
      <c r="B20" s="226">
        <v>0.0</v>
      </c>
    </row>
    <row r="21" ht="15.75" customHeight="1">
      <c r="A21" s="224" t="s">
        <v>908</v>
      </c>
      <c r="B21" s="226">
        <v>-9257.759999999998</v>
      </c>
    </row>
    <row r="22" ht="15.75" customHeight="1">
      <c r="A22" s="224" t="s">
        <v>909</v>
      </c>
      <c r="B22" s="226">
        <v>-9217.769999999999</v>
      </c>
    </row>
    <row r="23" ht="15.75" customHeight="1">
      <c r="A23" s="224" t="s">
        <v>910</v>
      </c>
      <c r="B23" s="225">
        <v>-39.99</v>
      </c>
    </row>
    <row r="24" ht="15.75" customHeight="1">
      <c r="A24" s="224" t="s">
        <v>911</v>
      </c>
      <c r="B24" s="226">
        <v>-691.1500000000001</v>
      </c>
    </row>
    <row r="25" ht="15.75" customHeight="1">
      <c r="A25" s="224" t="s">
        <v>890</v>
      </c>
      <c r="B25" s="225">
        <v>-85.73</v>
      </c>
    </row>
    <row r="26" ht="15.75" customHeight="1">
      <c r="A26" s="224" t="s">
        <v>912</v>
      </c>
      <c r="B26" s="225">
        <v>-53.97</v>
      </c>
    </row>
    <row r="27" ht="15.75" customHeight="1">
      <c r="A27" s="224" t="s">
        <v>913</v>
      </c>
      <c r="B27" s="226">
        <v>-551.45</v>
      </c>
    </row>
    <row r="28" ht="15.75" customHeight="1">
      <c r="A28" s="224" t="s">
        <v>914</v>
      </c>
      <c r="B28" s="226">
        <v>-537.97</v>
      </c>
    </row>
    <row r="29" ht="15.75" customHeight="1">
      <c r="A29" s="224" t="s">
        <v>915</v>
      </c>
      <c r="B29" s="226">
        <v>-436.51</v>
      </c>
    </row>
    <row r="30" ht="15.75" customHeight="1">
      <c r="A30" s="224" t="s">
        <v>916</v>
      </c>
      <c r="B30" s="226">
        <v>-101.46</v>
      </c>
    </row>
    <row r="31" ht="15.75" customHeight="1">
      <c r="A31" s="228" t="s">
        <v>399</v>
      </c>
      <c r="B31" s="229">
        <v>-7832.279999999998</v>
      </c>
    </row>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sheetData>
  <printOptions/>
  <pageMargins bottom="0.75" footer="0.0" header="0.0" left="0.7" right="0.7" top="0.75"/>
  <pageSetup orientation="landscape"/>
  <drawing r:id="rId1"/>
</worksheet>
</file>

<file path=xl/worksheets/sheet1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2.63" defaultRowHeight="15.0"/>
  <cols>
    <col customWidth="1" min="2" max="2" width="18.25"/>
  </cols>
  <sheetData>
    <row r="3">
      <c r="B3" s="7" t="s">
        <v>193</v>
      </c>
      <c r="C3" s="18">
        <v>1.0</v>
      </c>
      <c r="E3" s="216">
        <v>50.0</v>
      </c>
    </row>
    <row r="4">
      <c r="B4" s="131" t="s">
        <v>363</v>
      </c>
      <c r="C4" s="132">
        <f>15%*C3</f>
        <v>0.15</v>
      </c>
      <c r="E4" s="71">
        <f>C4*E3</f>
        <v>7.5</v>
      </c>
    </row>
    <row r="5">
      <c r="B5" s="7" t="s">
        <v>196</v>
      </c>
      <c r="C5" s="128">
        <f>C3-C4</f>
        <v>0.85</v>
      </c>
      <c r="E5" s="71">
        <f>E3-E4</f>
        <v>42.5</v>
      </c>
    </row>
    <row r="6">
      <c r="B6" s="131" t="s">
        <v>365</v>
      </c>
      <c r="C6" s="230">
        <f>13.5%*C5</f>
        <v>0.11475</v>
      </c>
      <c r="E6" s="71">
        <f>13.5%*E5</f>
        <v>5.7375</v>
      </c>
    </row>
    <row r="7">
      <c r="B7" s="131" t="s">
        <v>917</v>
      </c>
      <c r="C7" s="132">
        <f>11%*C3</f>
        <v>0.11</v>
      </c>
      <c r="E7" s="71">
        <f>11%*E3</f>
        <v>5.5</v>
      </c>
    </row>
    <row r="8">
      <c r="B8" s="131" t="s">
        <v>918</v>
      </c>
      <c r="C8" s="74">
        <f>3%*C4</f>
        <v>0.0045</v>
      </c>
      <c r="E8" s="71">
        <f>3%*E4</f>
        <v>0.225</v>
      </c>
    </row>
    <row r="9">
      <c r="B9" s="131" t="s">
        <v>202</v>
      </c>
      <c r="C9" s="128">
        <f>6%*C3</f>
        <v>0.06</v>
      </c>
      <c r="E9" s="71">
        <f>C9*E3</f>
        <v>3</v>
      </c>
    </row>
    <row r="10">
      <c r="B10" s="131" t="s">
        <v>919</v>
      </c>
      <c r="C10" s="128">
        <f>25%*C3</f>
        <v>0.25</v>
      </c>
      <c r="E10" s="71">
        <f>C10*E3</f>
        <v>12.5</v>
      </c>
    </row>
    <row r="11">
      <c r="B11" s="7" t="s">
        <v>920</v>
      </c>
      <c r="C11" s="128">
        <f>C5-sum(C6:C10)</f>
        <v>0.31075</v>
      </c>
      <c r="E11" s="71">
        <f>E5-sum(E6:E10)</f>
        <v>15.5375</v>
      </c>
    </row>
    <row r="12">
      <c r="B12" s="7" t="s">
        <v>921</v>
      </c>
      <c r="C12" s="18">
        <f>23%*C3</f>
        <v>0.23</v>
      </c>
      <c r="E12" s="71">
        <f>C12*E3</f>
        <v>11.5</v>
      </c>
    </row>
    <row r="13">
      <c r="B13" s="7" t="s">
        <v>922</v>
      </c>
      <c r="C13" s="128">
        <f>C11-C12</f>
        <v>0.08075</v>
      </c>
      <c r="E13" s="71">
        <f>E11-E12</f>
        <v>4.0375</v>
      </c>
    </row>
    <row r="14">
      <c r="E14" s="74">
        <f>E13/E5</f>
        <v>0.095</v>
      </c>
    </row>
  </sheetData>
  <drawing r:id="rId1"/>
</worksheet>
</file>

<file path=xl/worksheets/sheet1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2.63" defaultRowHeight="15.0"/>
  <sheetData>
    <row r="3">
      <c r="B3" s="231"/>
      <c r="C3" s="232" t="s">
        <v>923</v>
      </c>
      <c r="D3" s="231"/>
      <c r="E3" s="231"/>
      <c r="F3" s="231"/>
      <c r="G3" s="231"/>
      <c r="H3" s="231"/>
      <c r="M3" s="7" t="s">
        <v>191</v>
      </c>
    </row>
    <row r="4">
      <c r="B4" s="231"/>
      <c r="C4" s="233" t="s">
        <v>924</v>
      </c>
      <c r="D4" s="233" t="s">
        <v>925</v>
      </c>
      <c r="E4" s="233" t="s">
        <v>926</v>
      </c>
      <c r="F4" s="233" t="s">
        <v>927</v>
      </c>
      <c r="G4" s="233" t="s">
        <v>928</v>
      </c>
      <c r="H4" s="233" t="s">
        <v>929</v>
      </c>
      <c r="M4" s="7" t="s">
        <v>930</v>
      </c>
      <c r="N4" s="7" t="s">
        <v>931</v>
      </c>
      <c r="O4" s="7" t="s">
        <v>932</v>
      </c>
      <c r="P4" s="7" t="s">
        <v>933</v>
      </c>
      <c r="Q4" s="7" t="s">
        <v>934</v>
      </c>
    </row>
    <row r="5">
      <c r="B5" s="234" t="s">
        <v>64</v>
      </c>
      <c r="C5" s="235">
        <v>6.0</v>
      </c>
      <c r="D5" s="235">
        <v>2.0</v>
      </c>
      <c r="E5" s="235">
        <v>0.0</v>
      </c>
      <c r="F5" s="235">
        <v>10.0</v>
      </c>
      <c r="G5" s="235">
        <v>3.0</v>
      </c>
      <c r="H5" s="236">
        <f t="shared" ref="H5:H8" si="3">SUM(C5:G5)</f>
        <v>21</v>
      </c>
      <c r="M5" s="237">
        <f t="shared" ref="M5:N5" si="1">C12/C5</f>
        <v>167.3333333</v>
      </c>
      <c r="N5" s="237">
        <f t="shared" si="1"/>
        <v>165</v>
      </c>
      <c r="O5" s="238" t="s">
        <v>935</v>
      </c>
      <c r="P5" s="237">
        <f t="shared" ref="P5:Q5" si="2">F12/F5</f>
        <v>174.9</v>
      </c>
      <c r="Q5" s="237">
        <f t="shared" si="2"/>
        <v>188.6666667</v>
      </c>
    </row>
    <row r="6">
      <c r="B6" s="234" t="s">
        <v>265</v>
      </c>
      <c r="C6" s="235">
        <v>0.0</v>
      </c>
      <c r="D6" s="235">
        <v>7.0</v>
      </c>
      <c r="E6" s="235">
        <v>1.0</v>
      </c>
      <c r="F6" s="235">
        <v>7.0</v>
      </c>
      <c r="G6" s="235">
        <v>5.0</v>
      </c>
      <c r="H6" s="236">
        <f t="shared" si="3"/>
        <v>20</v>
      </c>
    </row>
    <row r="7">
      <c r="B7" s="234" t="s">
        <v>66</v>
      </c>
      <c r="C7" s="235">
        <v>0.0</v>
      </c>
      <c r="D7" s="235">
        <v>2.0</v>
      </c>
      <c r="E7" s="235">
        <v>14.0</v>
      </c>
      <c r="F7" s="235">
        <v>7.0</v>
      </c>
      <c r="G7" s="235">
        <v>1.0</v>
      </c>
      <c r="H7" s="236">
        <f t="shared" si="3"/>
        <v>24</v>
      </c>
    </row>
    <row r="8">
      <c r="B8" s="234" t="s">
        <v>53</v>
      </c>
      <c r="C8" s="235">
        <v>0.0</v>
      </c>
      <c r="D8" s="235">
        <v>10.0</v>
      </c>
      <c r="E8" s="235">
        <v>6.0</v>
      </c>
      <c r="F8" s="235">
        <v>0.0</v>
      </c>
      <c r="G8" s="235">
        <v>0.0</v>
      </c>
      <c r="H8" s="236">
        <f t="shared" si="3"/>
        <v>16</v>
      </c>
    </row>
    <row r="9">
      <c r="C9" s="181"/>
      <c r="D9" s="181"/>
      <c r="E9" s="181"/>
      <c r="F9" s="181"/>
      <c r="G9" s="181"/>
      <c r="H9" s="181"/>
    </row>
    <row r="10">
      <c r="C10" s="3" t="s">
        <v>936</v>
      </c>
      <c r="D10" s="181"/>
      <c r="E10" s="181"/>
      <c r="F10" s="181"/>
      <c r="G10" s="181"/>
      <c r="H10" s="181"/>
    </row>
    <row r="11">
      <c r="C11" s="233" t="s">
        <v>924</v>
      </c>
      <c r="D11" s="233" t="s">
        <v>925</v>
      </c>
      <c r="E11" s="233" t="s">
        <v>926</v>
      </c>
      <c r="F11" s="233" t="s">
        <v>927</v>
      </c>
      <c r="G11" s="233" t="s">
        <v>928</v>
      </c>
      <c r="H11" s="233" t="s">
        <v>929</v>
      </c>
    </row>
    <row r="12">
      <c r="B12" s="200" t="s">
        <v>64</v>
      </c>
      <c r="C12" s="100">
        <v>1004.0</v>
      </c>
      <c r="D12" s="100">
        <v>330.0</v>
      </c>
      <c r="E12" s="100">
        <v>0.0</v>
      </c>
      <c r="F12" s="100">
        <v>1749.0</v>
      </c>
      <c r="G12" s="100">
        <v>566.0</v>
      </c>
      <c r="H12" s="239">
        <f t="shared" ref="H12:H15" si="4">SUM(C12:G12)</f>
        <v>3649</v>
      </c>
    </row>
    <row r="13">
      <c r="B13" s="200" t="s">
        <v>265</v>
      </c>
      <c r="C13" s="100">
        <v>0.0</v>
      </c>
      <c r="D13" s="100">
        <v>1733.0</v>
      </c>
      <c r="E13" s="100">
        <v>251.0</v>
      </c>
      <c r="F13" s="239">
        <f>1246+491</f>
        <v>1737</v>
      </c>
      <c r="G13" s="100">
        <v>1300.0</v>
      </c>
      <c r="H13" s="239">
        <f t="shared" si="4"/>
        <v>5021</v>
      </c>
    </row>
    <row r="14">
      <c r="B14" s="200" t="s">
        <v>66</v>
      </c>
      <c r="C14" s="100">
        <v>0.0</v>
      </c>
      <c r="D14" s="100">
        <v>398.0</v>
      </c>
      <c r="E14" s="239">
        <f>2278+369</f>
        <v>2647</v>
      </c>
      <c r="F14" s="239">
        <f>787+597</f>
        <v>1384</v>
      </c>
      <c r="G14" s="100">
        <v>204.0</v>
      </c>
      <c r="H14" s="239">
        <f t="shared" si="4"/>
        <v>4633</v>
      </c>
    </row>
    <row r="15">
      <c r="B15" s="200" t="s">
        <v>53</v>
      </c>
      <c r="C15" s="100">
        <v>0.0</v>
      </c>
      <c r="D15" s="100">
        <v>1770.0</v>
      </c>
      <c r="E15" s="100">
        <v>1061.0</v>
      </c>
      <c r="F15" s="100">
        <v>0.0</v>
      </c>
      <c r="G15" s="100">
        <v>0.0</v>
      </c>
      <c r="H15" s="239">
        <f t="shared" si="4"/>
        <v>2831</v>
      </c>
    </row>
    <row r="16">
      <c r="C16" s="181">
        <f t="shared" ref="C16:G16" si="5">SUM(C11:C15)</f>
        <v>1004</v>
      </c>
      <c r="D16" s="181">
        <f t="shared" si="5"/>
        <v>4231</v>
      </c>
      <c r="E16" s="181">
        <f t="shared" si="5"/>
        <v>3959</v>
      </c>
      <c r="F16" s="181">
        <f t="shared" si="5"/>
        <v>4870</v>
      </c>
      <c r="G16" s="181">
        <f t="shared" si="5"/>
        <v>2070</v>
      </c>
      <c r="H16" s="181"/>
    </row>
    <row r="17">
      <c r="C17" s="3" t="s">
        <v>191</v>
      </c>
      <c r="D17" s="181"/>
      <c r="E17" s="181"/>
      <c r="F17" s="181"/>
      <c r="G17" s="181"/>
      <c r="H17" s="181"/>
    </row>
    <row r="18">
      <c r="C18" s="233" t="s">
        <v>924</v>
      </c>
      <c r="D18" s="233" t="s">
        <v>925</v>
      </c>
      <c r="E18" s="233" t="s">
        <v>926</v>
      </c>
      <c r="F18" s="233" t="s">
        <v>927</v>
      </c>
      <c r="G18" s="233" t="s">
        <v>928</v>
      </c>
      <c r="H18" s="233" t="s">
        <v>937</v>
      </c>
    </row>
    <row r="19">
      <c r="B19" s="200" t="s">
        <v>64</v>
      </c>
      <c r="C19" s="237">
        <f t="shared" ref="C19:H19" si="6">C12/C5</f>
        <v>167.3333333</v>
      </c>
      <c r="D19" s="237">
        <f t="shared" si="6"/>
        <v>165</v>
      </c>
      <c r="E19" s="237" t="str">
        <f t="shared" si="6"/>
        <v>#DIV/0!</v>
      </c>
      <c r="F19" s="237">
        <f t="shared" si="6"/>
        <v>174.9</v>
      </c>
      <c r="G19" s="237">
        <f t="shared" si="6"/>
        <v>188.6666667</v>
      </c>
      <c r="H19" s="237">
        <f t="shared" si="6"/>
        <v>173.7619048</v>
      </c>
    </row>
    <row r="20">
      <c r="B20" s="200" t="s">
        <v>265</v>
      </c>
      <c r="C20" s="237" t="str">
        <f t="shared" ref="C20:H20" si="7">C13/C6</f>
        <v>#DIV/0!</v>
      </c>
      <c r="D20" s="237">
        <f t="shared" si="7"/>
        <v>247.5714286</v>
      </c>
      <c r="E20" s="237">
        <f t="shared" si="7"/>
        <v>251</v>
      </c>
      <c r="F20" s="237">
        <f t="shared" si="7"/>
        <v>248.1428571</v>
      </c>
      <c r="G20" s="237">
        <f t="shared" si="7"/>
        <v>260</v>
      </c>
      <c r="H20" s="237">
        <f t="shared" si="7"/>
        <v>251.05</v>
      </c>
    </row>
    <row r="21">
      <c r="B21" s="200" t="s">
        <v>66</v>
      </c>
      <c r="C21" s="237" t="str">
        <f t="shared" ref="C21:H21" si="8">C14/C7</f>
        <v>#DIV/0!</v>
      </c>
      <c r="D21" s="237">
        <f t="shared" si="8"/>
        <v>199</v>
      </c>
      <c r="E21" s="237">
        <f t="shared" si="8"/>
        <v>189.0714286</v>
      </c>
      <c r="F21" s="237">
        <f t="shared" si="8"/>
        <v>197.7142857</v>
      </c>
      <c r="G21" s="237">
        <f t="shared" si="8"/>
        <v>204</v>
      </c>
      <c r="H21" s="237">
        <f t="shared" si="8"/>
        <v>193.0416667</v>
      </c>
    </row>
    <row r="22">
      <c r="B22" s="200" t="s">
        <v>53</v>
      </c>
      <c r="C22" s="237" t="str">
        <f t="shared" ref="C22:H22" si="9">C15/C8</f>
        <v>#DIV/0!</v>
      </c>
      <c r="D22" s="237">
        <f t="shared" si="9"/>
        <v>177</v>
      </c>
      <c r="E22" s="237">
        <f t="shared" si="9"/>
        <v>176.8333333</v>
      </c>
      <c r="F22" s="237" t="str">
        <f t="shared" si="9"/>
        <v>#DIV/0!</v>
      </c>
      <c r="G22" s="237" t="str">
        <f t="shared" si="9"/>
        <v>#DIV/0!</v>
      </c>
      <c r="H22" s="237">
        <f t="shared" si="9"/>
        <v>176.9375</v>
      </c>
    </row>
  </sheetData>
  <drawing r:id="rId1"/>
  <tableParts count="3">
    <tablePart r:id="rId5"/>
    <tablePart r:id="rId6"/>
    <tablePart r:id="rId7"/>
  </tableParts>
</worksheet>
</file>